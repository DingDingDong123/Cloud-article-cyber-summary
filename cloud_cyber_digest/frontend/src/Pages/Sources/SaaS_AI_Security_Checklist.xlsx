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list" sheetId="1" state="visible" r:id="rId3"/>
    <sheet name="Summary" sheetId="2" state="visible" r:id="rId4"/>
  </sheets>
  <definedNames>
    <definedName function="false" hidden="true" localSheetId="0" name="_xlnm._FilterDatabase" vbProcedure="false">Checklist!$A$2:$J$67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<sst xmlns="http://schemas.openxmlformats.org/spreadsheetml/2006/main" count="563" uniqueCount="316">
  <si>
    <t xml:space="preserve">SaaS &amp; Cloud AI Security Regulation — Compliance Checklist  ·  65 controls  ·  v1.0</t>
  </si>
  <si>
    <t xml:space="preserve">#</t>
  </si>
  <si>
    <t xml:space="preserve">Chapter</t>
  </si>
  <si>
    <t xml:space="preserve">Control</t>
  </si>
  <si>
    <t xml:space="preserve">Severity</t>
  </si>
  <si>
    <t xml:space="preserve">Applies To</t>
  </si>
  <si>
    <t xml:space="preserve">Requirement</t>
  </si>
  <si>
    <t xml:space="preserve">Verification / Evidence</t>
  </si>
  <si>
    <t xml:space="preserve">Status</t>
  </si>
  <si>
    <t xml:space="preserve">Owner</t>
  </si>
  <si>
    <t xml:space="preserve">Evidence / Notes</t>
  </si>
  <si>
    <t xml:space="preserve">1.1</t>
  </si>
  <si>
    <t xml:space="preserve">Inventory, Discovery &amp; Threat Modeling for AI Systems</t>
  </si>
  <si>
    <t xml:space="preserve">AI systems &amp; models inventory and registration</t>
  </si>
  <si>
    <t xml:space="preserve">High</t>
  </si>
  <si>
    <t xml:space="preserve">SaaS &amp; Cloud</t>
  </si>
  <si>
    <t xml:space="preserve">Maintain a central, current inventory of all AI systems — production models, endpoints, agents and datasets — across both tracks. Without it, controls, Shadow-AI detection and incident investigation are impossible.</t>
  </si>
  <si>
    <t xml:space="preserve">Monthly reconciliation of the inventory against actual AI resources in each cloud; every active endpoint has a record.</t>
  </si>
  <si>
    <t xml:space="preserve">Not Started</t>
  </si>
  <si>
    <t xml:space="preserve">1.2</t>
  </si>
  <si>
    <t xml:space="preserve">Automated Shadow AI discovery</t>
  </si>
  <si>
    <t xml:space="preserve">Critical</t>
  </si>
  <si>
    <t xml:space="preserve">SaaS</t>
  </si>
  <si>
    <t xml:space="preserve">Detect unauthorized employee use of SaaS AI tools via CASB, egress proxy and DNS logs before sensitive data reaches an ungoverned service.</t>
  </si>
  <si>
    <t xml:space="preserve">Monthly report of detected AI destinations; each new destination classified approved/blocked within 7 days.</t>
  </si>
  <si>
    <t xml:space="preserve">1.3</t>
  </si>
  <si>
    <t xml:space="preserve">Per-system threat modeling (STRIDE + MITRE ATLAS)</t>
  </si>
  <si>
    <t xml:space="preserve">Perform dedicated threat modeling for every material AI system, combining STRIDE with ATLAS techniques (prompt injection, data poisoning, model extraction) before production.</t>
  </si>
  <si>
    <t xml:space="preserve">A current threat-model document exists for each High-severity system; each threat maps to a mitigating control.</t>
  </si>
  <si>
    <t xml:space="preserve">1.4</t>
  </si>
  <si>
    <t xml:space="preserve">Security gates in CI/CD for model deployment</t>
  </si>
  <si>
    <t xml:space="preserve">Cloud</t>
  </si>
  <si>
    <t xml:space="preserve">Embed automated security checks as a mandatory gate in the model deployment pipeline — dependency scanning, artifact-signature verification, permission checks — so deployments that skip the gate are blocked.</t>
  </si>
  <si>
    <t xml:space="preserve">No production model deployment bypassed the gate in the last 90 days (pipeline audit log).</t>
  </si>
  <si>
    <t xml:space="preserve">2.1</t>
  </si>
  <si>
    <t xml:space="preserve">Data Classification &amp; AI Data-Flow Control</t>
  </si>
  <si>
    <t xml:space="preserve">Automated sensitivity labeling in the AI pipeline</t>
  </si>
  <si>
    <t xml:space="preserve">Automatically scan and classify data sensitivity in the Data Lake and in prompts before feeding the model, using built-in discovery services.</t>
  </si>
  <si>
    <t xml:space="preserve">Every dataset fed to training/RAG passed sensitivity scanning; untagged datasets trend to zero.</t>
  </si>
  <si>
    <t xml:space="preserve">2.2</t>
  </si>
  <si>
    <t xml:space="preserve">Enforce “what may be sent” policy to SaaS AI</t>
  </si>
  <si>
    <t xml:space="preserve">Technically define which classification levels may be sent to each SaaS AI tool and enforce it inline (not only in written policy).</t>
  </si>
  <si>
    <t xml:space="preserve">A proactive block test (test prompt with classified data) is actually blocked; monthly enforcement report.</t>
  </si>
  <si>
    <t xml:space="preserve">2.3</t>
  </si>
  <si>
    <t xml:space="preserve">Detect and handle personal data in the AI pipeline</t>
  </si>
  <si>
    <t xml:space="preserve">Detect PII at every point in the pipeline — Lake, prompt, output — and apply handling (block/mask/consent) per PPL Amendment 13.</t>
  </si>
  <si>
    <t xml:space="preserve">PII scan on a sample of prompts/outputs confirms zero unauthorized leaks; every PII flow maps to a legal basis.</t>
  </si>
  <si>
    <t xml:space="preserve">2.4</t>
  </si>
  <si>
    <t xml:space="preserve">Enforce retention/TTL and deletion on AI data</t>
  </si>
  <si>
    <t xml:space="preserve">Medium</t>
  </si>
  <si>
    <t xml:space="preserve">Define and enforce automatic retention and deletion policy for prompts, logs, datasets and conversation history.</t>
  </si>
  <si>
    <t xml:space="preserve">Data past its retention period is actually deleted (quarterly sampling).</t>
  </si>
  <si>
    <t xml:space="preserve">2.5</t>
  </si>
  <si>
    <t xml:space="preserve">Training &amp; fine-tuning data lineage (source &amp; origin)</t>
  </si>
  <si>
    <t xml:space="preserve">Document full lineage from the Data Lake to the dataset to the trained model, to detect data poisoning and support investigation.</t>
  </si>
  <si>
    <t xml:space="preserve">Every production model has a lineage record back to the Lake source; you can trace which data fed a given model.</t>
  </si>
  <si>
    <t xml:space="preserve">3.1</t>
  </si>
  <si>
    <t xml:space="preserve">Technical Controls for SaaS AI Consumption</t>
  </si>
  <si>
    <t xml:space="preserve">Enforce SSO/SAML and harden the tenant</t>
  </si>
  <si>
    <t xml:space="preserve">Connect every approved SaaS AI tool to the enterprise IdP (SSO/SAML/SCIM) and disable self-signup, to enforce identity, MFA and central deprovisioning.</t>
  </si>
  <si>
    <t xml:space="preserve">No active users without SSO; a departing employee loses access within 24 hours.</t>
  </si>
  <si>
    <t xml:space="preserve">3.2</t>
  </si>
  <si>
    <t xml:space="preserve">Block unapproved endpoints at egress proxy/firewall</t>
  </si>
  <si>
    <t xml:space="preserve">Enforce a network-level allowlist of AI destinations so traffic to unapproved destinations is blocked.</t>
  </si>
  <si>
    <t xml:space="preserve">An attempt to reach an unapproved AI destination is blocked and logged.</t>
  </si>
  <si>
    <t xml:space="preserve">3.3</t>
  </si>
  <si>
    <t xml:space="preserve">Harden the provider: training opt-out, retention, residency</t>
  </si>
  <si>
    <t xml:space="preserve">Provider-side configuration that prevents training on enterprise data, limits retention and ensures compliant residency.</t>
  </si>
  <si>
    <t xml:space="preserve">A snapshot of provider settings preserves opt-out + region; verified against the DPA (3.6).</t>
  </si>
  <si>
    <t xml:space="preserve">3.4</t>
  </si>
  <si>
    <t xml:space="preserve">Manage and rotate API keys for SaaS AI services</t>
  </si>
  <si>
    <t xml:space="preserve">Centrally manage, rotate and scope API keys for SaaS AI services and keep them out of source code.</t>
  </si>
  <si>
    <t xml:space="preserve">No AI keys in source code; every key rotated per policy.</t>
  </si>
  <si>
    <t xml:space="preserve">3.5</t>
  </si>
  <si>
    <t xml:space="preserve">Control AI browser extensions and plugins</t>
  </si>
  <si>
    <t xml:space="preserve">Govern AI browser extensions and plugins that can read page/document content and send it out.</t>
  </si>
  <si>
    <t xml:space="preserve">Installed extensions reviewed against the allowlist; no unapproved AI extensions on endpoints.</t>
  </si>
  <si>
    <t xml:space="preserve">3.6</t>
  </si>
  <si>
    <t xml:space="preserve">Contractual attestation / DPA as a precondition to use</t>
  </si>
  <si>
    <t xml:space="preserve">Make SaaS AI use conditional on a signed DPA and security attestations (SOC 2 Type II / ISO 27001) covering sub-processors, training-on-data and residency.</t>
  </si>
  <si>
    <t xml:space="preserve">Every active SaaS AI tool has a valid DPA and current attestation (≤12 months).</t>
  </si>
  <si>
    <t xml:space="preserve">3.7</t>
  </si>
  <si>
    <t xml:space="preserve">Govern embedded AI features in existing enterprise SaaS</t>
  </si>
  <si>
    <t xml:space="preserve">Embedded AI features in existing SaaS (M365 Copilot, Gemini in Workspace, Salesforce Einstein/Agentforce, ServiceNow AI) run on data already in the org and inherit its permissions; enabling them requires dedicated review, not the vendor default.</t>
  </si>
  <si>
    <t xml:space="preserve">An inventory of embedded AI features exists; none is active without documented review; over-sharing findings remediated before broad enablement.</t>
  </si>
  <si>
    <t xml:space="preserve">4.1</t>
  </si>
  <si>
    <t xml:space="preserve">Data Loss Prevention (DLP) on Prompts &amp; Outputs</t>
  </si>
  <si>
    <t xml:space="preserve">Inline DLP on prompts</t>
  </si>
  <si>
    <t xml:space="preserve">Real-time DLP inspection of prompt content before it reaches the model, to block/mask sensitive data.</t>
  </si>
  <si>
    <t xml:space="preserve">A test prompt with PII/secret is blocked or masked; block rate logged.</t>
  </si>
  <si>
    <t xml:space="preserve">4.2</t>
  </si>
  <si>
    <t xml:space="preserve">DLP and filtering on model outputs</t>
  </si>
  <si>
    <t xml:space="preserve">Filter model outputs before display/use, to prevent leakage of sensitive data retrieved from RAG/training or malicious injection.</t>
  </si>
  <si>
    <t xml:space="preserve">Output containing classified data is blocked/masked in a proactive test.</t>
  </si>
  <si>
    <t xml:space="preserve">4.3</t>
  </si>
  <si>
    <t xml:space="preserve">Real-time PII redaction and masking</t>
  </si>
  <si>
    <t xml:space="preserve">Mask/tokenize PII in data flowing to and from the model so the model is not exposed to real identities.</t>
  </si>
  <si>
    <t xml:space="preserve">A data sample shows PII masked before reaching the model.</t>
  </si>
  <si>
    <t xml:space="preserve">4.4</t>
  </si>
  <si>
    <t xml:space="preserve">Secret and key scanning in prompts and logs</t>
  </si>
  <si>
    <t xml:space="preserve">Prevent and detect leakage of secrets/keys/tokens via prompts, conversation logs and repos.</t>
  </si>
  <si>
    <t xml:space="preserve">Zero exposed secrets in scanning; every finding rotated within 24 hours.</t>
  </si>
  <si>
    <t xml:space="preserve">5.1</t>
  </si>
  <si>
    <t xml:space="preserve">Identities &amp; Permissions</t>
  </si>
  <si>
    <t xml:space="preserve">Least privilege for AI service identities</t>
  </si>
  <si>
    <t xml:space="preserve">Each AI workload has a dedicated service identity with minimal permissions for its specific action only — including scoped access to the Data Lake data it reads. No Owner/Editor or shared identities.</t>
  </si>
  <si>
    <t xml:space="preserve">Quarterly IAM review; no AI identity with a broad basic role; recommender confirms zero critical over-grants.</t>
  </si>
  <si>
    <t xml:space="preserve">5.2</t>
  </si>
  <si>
    <t xml:space="preserve">Workload identity without static keys</t>
  </si>
  <si>
    <t xml:space="preserve">AI systems authenticate via short-lived workload identities, with no static keys that can be harvested or leaked.</t>
  </si>
  <si>
    <t xml:space="preserve">No active SA keys for AI identities; all auth via federation/managed identity.</t>
  </si>
  <si>
    <t xml:space="preserve">5.3</t>
  </si>
  <si>
    <t xml:space="preserve">Authentication and authorization for inference endpoints</t>
  </si>
  <si>
    <t xml:space="preserve">Every call to a model endpoint is authenticated and authorized; no open, unauthenticated endpoints.</t>
  </si>
  <si>
    <t xml:space="preserve">A call without a credential is rejected; no public unauthenticated endpoint.</t>
  </si>
  <si>
    <t xml:space="preserve">5.4</t>
  </si>
  <si>
    <t xml:space="preserve">Environment and permission separation</t>
  </si>
  <si>
    <t xml:space="preserve">Full separation of dev/staging/prod at project/account/subscription level, with no production data in non-production environments.</t>
  </si>
  <si>
    <t xml:space="preserve">No dev access to prod data; permission separation verified in review.</t>
  </si>
  <si>
    <t xml:space="preserve">6.1</t>
  </si>
  <si>
    <t xml:space="preserve">Network Security &amp; Isolation</t>
  </si>
  <si>
    <t xml:space="preserve">Perimeter isolation (VPC-SC / PrivateLink / Private Endpoint)</t>
  </si>
  <si>
    <t xml:space="preserve">Wrap AI services and the Data Lake in a network perimeter that prevents exfiltration even if a credential is exposed.</t>
  </si>
  <si>
    <t xml:space="preserve">A call to the AI service from outside the perimeter is blocked; no public path to the Lake.</t>
  </si>
  <si>
    <t xml:space="preserve">6.2</t>
  </si>
  <si>
    <t xml:space="preserve">Private endpoints / Private Service Connect for models</t>
  </si>
  <si>
    <t xml:space="preserve">Access models over private connectivity only, without exposing inference to the public internet.</t>
  </si>
  <si>
    <t xml:space="preserve">Endpoint resolution points to a private address; public access disabled.</t>
  </si>
  <si>
    <t xml:space="preserve">6.3</t>
  </si>
  <si>
    <t xml:space="preserve">Egress control and exfiltration prevention</t>
  </si>
  <si>
    <t xml:space="preserve">Restrict outbound traffic from AI environments to approved destinations only, to prevent data leakage or agent callbacks.</t>
  </si>
  <si>
    <t xml:space="preserve">Traffic to an unapproved destination is blocked and logged.</t>
  </si>
  <si>
    <t xml:space="preserve">6.4</t>
  </si>
  <si>
    <t xml:space="preserve">API gateway, WAF and rate limiting for models</t>
  </si>
  <si>
    <t xml:space="preserve">Place a managed gateway in front of endpoints, with WAF, authentication and rate limiting to protect against abuse and DoS.</t>
  </si>
  <si>
    <t xml:space="preserve">Rate-limit breach returns 429; no endpoint exposed without a gateway.</t>
  </si>
  <si>
    <t xml:space="preserve">7.1</t>
  </si>
  <si>
    <t xml:space="preserve">Encryption &amp; Secrets Management</t>
  </si>
  <si>
    <t xml:space="preserve">CMEK for models, datasets and vector stores</t>
  </si>
  <si>
    <t xml:space="preserve">Encrypt all AI artifacts — models, Lake datasets, vector stores — with customer-managed keys, for control and revocation.</t>
  </si>
  <si>
    <t xml:space="preserve">Every AI/Lake resource points to an enterprise CMEK; revoking the key blocks access.</t>
  </si>
  <si>
    <t xml:space="preserve">7.2</t>
  </si>
  <si>
    <t xml:space="preserve">Encryption in transit (TLS)</t>
  </si>
  <si>
    <t xml:space="preserve">Enforce TLS 1.2+ on all inference channels and data movement to/from the Lake.</t>
  </si>
  <si>
    <t xml:space="preserve">Configuration scan confirms TLS 1.2+ on all endpoints.</t>
  </si>
  <si>
    <t xml:space="preserve">7.3</t>
  </si>
  <si>
    <t xml:space="preserve">Secrets management in Secret Manager / Key Vault</t>
  </si>
  <si>
    <t xml:space="preserve">Manage all credentials, API keys and connection strings in a dedicated vault; no secrets in code, env files or system prompts.</t>
  </si>
  <si>
    <t xml:space="preserve">No secrets in code/prompts; secret retrieval logged in the audit log.</t>
  </si>
  <si>
    <t xml:space="preserve">7.4</t>
  </si>
  <si>
    <t xml:space="preserve">Automatic rotation and key access control</t>
  </si>
  <si>
    <t xml:space="preserve">Periodic automatic rotation of keys and secrets, with full KMS access logging.</t>
  </si>
  <si>
    <t xml:space="preserve">Keys rotated per policy; KMS access is logged.</t>
  </si>
  <si>
    <t xml:space="preserve">8.1</t>
  </si>
  <si>
    <t xml:space="preserve">Model &amp; Agent Security</t>
  </si>
  <si>
    <t xml:space="preserve">Protection against prompt injection (direct and indirect)</t>
  </si>
  <si>
    <t xml:space="preserve">Defend against direct (user input) and indirect (malicious content retrieved from RAG/Lake/web) injection that tries to bypass instructions or extract data.</t>
  </si>
  <si>
    <t xml:space="preserve">A prompt-injection suite (direct + indirect) runs in CI; bypass rate below the defined threshold.</t>
  </si>
  <si>
    <t xml:space="preserve">8.2</t>
  </si>
  <si>
    <t xml:space="preserve">Guardrails and content filters</t>
  </si>
  <si>
    <t xml:space="preserve">Apply managed guardrails on input and output — content/topic/word filters, denied topics and PII filters.</t>
  </si>
  <si>
    <t xml:space="preserve">Policy-violating input/output is blocked; guardrail settings under version control.</t>
  </si>
  <si>
    <t xml:space="preserve">8.3</t>
  </si>
  <si>
    <t xml:space="preserve">Output handling validation and hardening</t>
  </si>
  <si>
    <t xml:space="preserve">Treat model output as untrusted input: validate schema, encoding, and forbid direct execution/injection into downstream systems.</t>
  </si>
  <si>
    <t xml:space="preserve">Output not matching schema is rejected; no direct execution path for model output.</t>
  </si>
  <si>
    <t xml:space="preserve">8.4</t>
  </si>
  <si>
    <t xml:space="preserve">Limit excessive agency and tool permissions</t>
  </si>
  <si>
    <t xml:space="preserve">Limit agents' tools, permissions and scope to the minimum necessary; deny-by-default on tool calls.</t>
  </si>
  <si>
    <t xml:space="preserve">Each agent's tool list is documented and limited; no unauthorized tool available to an agent.</t>
  </si>
  <si>
    <t xml:space="preserve">8.5</t>
  </si>
  <si>
    <t xml:space="preserve">Human approval for high-risk agent actions</t>
  </si>
  <si>
    <t xml:space="preserve">Irreversible or high-impact actions (writes, deletes, payments, external communications) require explicit human approval.</t>
  </si>
  <si>
    <t xml:space="preserve">A high-impact action without approval is blocked and logged.</t>
  </si>
  <si>
    <t xml:space="preserve">8.6</t>
  </si>
  <si>
    <t xml:space="preserve">Multi-step agents: sandboxing and allowlisted tools</t>
  </si>
  <si>
    <t xml:space="preserve">Run agent logic in an isolated environment with egress restrictions, a tool allowlist and a step/loop ceiling.</t>
  </si>
  <si>
    <t xml:space="preserve">An agent cannot go beyond the allowlist; exceeding the step ceiling halts the run.</t>
  </si>
  <si>
    <t xml:space="preserve">8.7</t>
  </si>
  <si>
    <t xml:space="preserve">Protection against data and model poisoning</t>
  </si>
  <si>
    <t xml:space="preserve">Protect the integrity of training/fine-tuning/RAG data coming from the Lake against poisoning that biases model behavior.</t>
  </si>
  <si>
    <t xml:space="preserve">Every training dataset passed an integrity check; unauthorized Lake changes are detected.</t>
  </si>
  <si>
    <t xml:space="preserve">8.8</t>
  </si>
  <si>
    <t xml:space="preserve">Protection against model extraction/inversion and membership inference</t>
  </si>
  <si>
    <t xml:space="preserve">Harden against repeated queries aimed at reconstructing the model or inferring membership in the training set.</t>
  </si>
  <si>
    <t xml:space="preserve">Extraction query patterns are detected and throttled.</t>
  </si>
  <si>
    <t xml:space="preserve">8.9</t>
  </si>
  <si>
    <t xml:space="preserve">Protect system prompts from leakage</t>
  </si>
  <si>
    <t xml:space="preserve">Treat the system prompt as extractable: it contains no secrets, and leakage is detected and handled.</t>
  </si>
  <si>
    <t xml:space="preserve">System-prompt review confirms zero secrets; extraction attempts are detected.</t>
  </si>
  <si>
    <t xml:space="preserve">8.10</t>
  </si>
  <si>
    <t xml:space="preserve">Protection against unbounded consumption / DoS</t>
  </si>
  <si>
    <t xml:space="preserve">Limit resource consumption — tokens, calls, input size — to prevent DoS and uncontrolled cost.</t>
  </si>
  <si>
    <t xml:space="preserve">Quota breach is blocked; a budget alert is active for every AI service.</t>
  </si>
  <si>
    <t xml:space="preserve">9.1</t>
  </si>
  <si>
    <t xml:space="preserve">RAG &amp; Model Supply-Chain Security</t>
  </si>
  <si>
    <t xml:space="preserve">Secure the vector store and embeddings</t>
  </si>
  <si>
    <t xml:space="preserve">Harden the vector store — access control, isolation and encryption — since embeddings can leak sensitive data originating in the Lake.</t>
  </si>
  <si>
    <t xml:space="preserve">Vector-store access is limited to authorized identities; the store is CMEK-encrypted.</t>
  </si>
  <si>
    <t xml:space="preserve">9.2</t>
  </si>
  <si>
    <t xml:space="preserve">Enforce document-level ACL on RAG sources</t>
  </si>
  <si>
    <t xml:space="preserve">Retrieval allow/deny must respect the user's Lake-derived permissions, or the model will leak documents the user is not entitled to see.</t>
  </si>
  <si>
    <t xml:space="preserve">In RAG a user receives only documents they are authorized for (controlled permission test).</t>
  </si>
  <si>
    <t xml:space="preserve">9.3</t>
  </si>
  <si>
    <t xml:space="preserve">Model provenance verification and signing</t>
  </si>
  <si>
    <t xml:space="preserve">Verify the provenance and integrity of every model before deployment — whether from Model Garden, Bedrock or a third-party repo.</t>
  </si>
  <si>
    <t xml:space="preserve">Every production model passed signature/checksum verification; deployment of an unsigned model is blocked.</t>
  </si>
  <si>
    <t xml:space="preserve">9.4</t>
  </si>
  <si>
    <t xml:space="preserve">Vetting of third-party models and dependencies</t>
  </si>
  <si>
    <t xml:space="preserve">Scan model artifacts and dependencies for malicious code and vulnerabilities before integration.</t>
  </si>
  <si>
    <t xml:space="preserve">Every new model/dependency was scanned; a critical finding blocks integration.</t>
  </si>
  <si>
    <t xml:space="preserve">10.1</t>
  </si>
  <si>
    <t xml:space="preserve">Monitoring, Logging &amp; Detection</t>
  </si>
  <si>
    <t xml:space="preserve">Comprehensive audit logging</t>
  </si>
  <si>
    <t xml:space="preserve">Enable comprehensive audit logging, including Data Access, on all AI and Lake services, centralized in a tamper-resistant location.</t>
  </si>
  <si>
    <t xml:space="preserve">Data Access logs active on every AI/Lake service; logs immutable and routed to the SIEM.</t>
  </si>
  <si>
    <t xml:space="preserve">10.2</t>
  </si>
  <si>
    <t xml:space="preserve">Collect prompt/output logs into the SIEM</t>
  </si>
  <si>
    <t xml:space="preserve">Collect prompts and outputs (with PII handling) and route them to the SIEM as a basis for detection and investigation.</t>
  </si>
  <si>
    <t xml:space="preserve">Prompts/outputs available in the SIEM for investigation; PII handled before storage.</t>
  </si>
  <si>
    <t xml:space="preserve">10.3</t>
  </si>
  <si>
    <t xml:space="preserve">Anomaly and malicious-behavior detection</t>
  </si>
  <si>
    <t xml:space="preserve">SIEM detection rules mapped to ATLAS techniques — injection attempts, extraction patterns, volume anomalies.</t>
  </si>
  <si>
    <t xml:space="preserve">A test attack (injection/extraction) generates an alert; rules are maintained.</t>
  </si>
  <si>
    <t xml:space="preserve">10.4</t>
  </si>
  <si>
    <t xml:space="preserve">AI incident response with dedicated playbooks</t>
  </si>
  <si>
    <t xml:space="preserve">Dedicated playbooks for AI incidents: prompt injection, data leakage via the model, a poisoned model, a compromised agent.</t>
  </si>
  <si>
    <t xml:space="preserve">A playbook exists for each scenario; periodic tabletop exercises.</t>
  </si>
  <si>
    <t xml:space="preserve">11.1</t>
  </si>
  <si>
    <t xml:space="preserve">Evaluation, Testing &amp; Red Teaming</t>
  </si>
  <si>
    <t xml:space="preserve">Security eval gate before production</t>
  </si>
  <si>
    <t xml:space="preserve">A mandatory security eval gate before production — injection, leakage, guardrails — where failure blocks deployment.</t>
  </si>
  <si>
    <t xml:space="preserve">No production model skipped the gate; results documented.</t>
  </si>
  <si>
    <t xml:space="preserve">11.2</t>
  </si>
  <si>
    <t xml:space="preserve">Adversarial red teaming for AI systems</t>
  </si>
  <si>
    <t xml:space="preserve">Periodic adversarial testing against ATLAS techniques — direct/indirect injection, extraction, jailbreak, poisoning.</t>
  </si>
  <si>
    <t xml:space="preserve">Red teaming performed on a defined cycle; findings remediated.</t>
  </si>
  <si>
    <t xml:space="preserve">11.3</t>
  </si>
  <si>
    <t xml:space="preserve">Safety and guardrail regression testing</t>
  </si>
  <si>
    <t xml:space="preserve">Regression tests confirming guardrails and safety controls were not broken after a model/config change.</t>
  </si>
  <si>
    <t xml:space="preserve">A change that breaks a guardrail is caught in regression before production.</t>
  </si>
  <si>
    <t xml:space="preserve">11.4</t>
  </si>
  <si>
    <t xml:space="preserve">Drift monitoring and continuous evaluation in production</t>
  </si>
  <si>
    <t xml:space="preserve">Continuous monitoring of model performance and safety in production to detect drift or degradation.</t>
  </si>
  <si>
    <t xml:space="preserve">Drift beyond a threshold generates an alert; periodic eval documented.</t>
  </si>
  <si>
    <t xml:space="preserve">12.1</t>
  </si>
  <si>
    <t xml:space="preserve">Privacy Enforcement &amp; PPL Amendment 13 Compliance</t>
  </si>
  <si>
    <t xml:space="preserve">Technical enforcement of legal basis / consent</t>
  </si>
  <si>
    <t xml:space="preserve">AI processing of personal data is technically conditional on a valid legal basis/consent — not policy alone.</t>
  </si>
  <si>
    <t xml:space="preserve">PII processing without a legal basis is blocked; every flow maps to a basis.</t>
  </si>
  <si>
    <t xml:space="preserve">12.2</t>
  </si>
  <si>
    <t xml:space="preserve">Automatic data minimization before sending to the model</t>
  </si>
  <si>
    <t xml:space="preserve">Automatically minimize PII before feeding the model — only the necessary fields.</t>
  </si>
  <si>
    <t xml:space="preserve">A sample confirms only necessary fields are passed to the model.</t>
  </si>
  <si>
    <t xml:space="preserve">12.3</t>
  </si>
  <si>
    <t xml:space="preserve">Enforce residency and cross-border controls on personal data</t>
  </si>
  <si>
    <t xml:space="preserve">Technically enforce the processing/storage location of personal data (including the Lake) and restrict cross-border transfer to SaaS AI providers per PPL Amendment 13.</t>
  </si>
  <si>
    <t xml:space="preserve">AI/Lake data does not leave the approved region; cross-border transfers are logged and authorized.</t>
  </si>
  <si>
    <t xml:space="preserve">12.4</t>
  </si>
  <si>
    <t xml:space="preserve">Fulfilment of data-subject rights in AI data</t>
  </si>
  <si>
    <t xml:space="preserve">Ability to locate, present and delete personal data in AI systems — datasets, logs, vector stores — in response to a data-subject request.</t>
  </si>
  <si>
    <t xml:space="preserve">A deletion request is handled across all AI stores; residual PII verified as removed.</t>
  </si>
  <si>
    <t xml:space="preserve">13.1</t>
  </si>
  <si>
    <t xml:space="preserve">Controls for AI Coding &amp; Development Tools</t>
  </si>
  <si>
    <t xml:space="preserve">Allowlist of approved AI coding tools</t>
  </si>
  <si>
    <t xml:space="preserve">Only explicitly approved AI coding tools are allowed; unapproved tools are blocked, including IDE extensions and CLI tools.</t>
  </si>
  <si>
    <t xml:space="preserve">Installed tools on developer endpoints reviewed against the allowlist; no unapproved AI coding tool active.</t>
  </si>
  <si>
    <t xml:space="preserve">13.2</t>
  </si>
  <si>
    <t xml:space="preserve">Mandatory routing through the enterprise cloud backend</t>
  </si>
  <si>
    <t xml:space="preserve">Every AI coding tool is routed to an enterprise model backend, not the vendor's consumer endpoint; direct endpoints are blocked at the network.</t>
  </si>
  <si>
    <t xml:space="preserve">Tool traffic egresses only to the enterprise backend; an attempt to reach the consumer endpoint is blocked and logged.</t>
  </si>
  <si>
    <t xml:space="preserve">13.3</t>
  </si>
  <si>
    <t xml:space="preserve">Code &amp; IP protection: no-train / no-retention</t>
  </si>
  <si>
    <t xml:space="preserve">Technical and contractual assurance that source code and context are not stored or used for training outside the enterprise tenancy.</t>
  </si>
  <si>
    <t xml:space="preserve">No-train/no-retention settings verified for each tool; covered in the DPA.</t>
  </si>
  <si>
    <t xml:space="preserve">13.4</t>
  </si>
  <si>
    <t xml:space="preserve">Prevent secret and PII leakage via code context</t>
  </si>
  <si>
    <t xml:space="preserve">The tool sends files/context that may contain .env, keys or customer data; active prevention is required.</t>
  </si>
  <si>
    <t xml:space="preserve">Secret files are excluded from the sent context (proactive test); scanning confirms zero secrets in tool traffic.</t>
  </si>
  <si>
    <t xml:space="preserve">13.5</t>
  </si>
  <si>
    <t xml:space="preserve">Control agentic execution on the developer machine</t>
  </si>
  <si>
    <t xml:space="preserve">Agentic tools run commands, edit files and call tools — and can be exploited via injection (including indirect, from pulled repo/page content); restriction is required.</t>
  </si>
  <si>
    <t xml:space="preserve">An irreversible action requires approval; the tool cannot access production credentials from the dev machine.</t>
  </si>
  <si>
    <t xml:space="preserve">13.6</t>
  </si>
  <si>
    <t xml:space="preserve">Centralized authentication, keys and monitoring</t>
  </si>
  <si>
    <t xml:space="preserve">Developer access to the tool is based on SSO and cloud identity, with scoped rotating keys and central usage monitoring.</t>
  </si>
  <si>
    <t xml:space="preserve">No permanent personal keys; tool usage visible in the SIEM; a departing employee loses access within 24 hours.</t>
  </si>
  <si>
    <t xml:space="preserve">13.7</t>
  </si>
  <si>
    <t xml:space="preserve">Govern tool MCP servers and extensions</t>
  </si>
  <si>
    <t xml:space="preserve">Coding tools connect to MCP servers and plugins that extend their permissions — a supply-chain and excessive-agency vector.</t>
  </si>
  <si>
    <t xml:space="preserve">Only approved MCP servers/extensions are connected; each connector's permissions are documented and limited.</t>
  </si>
  <si>
    <t xml:space="preserve">Compliance Summary</t>
  </si>
  <si>
    <t xml:space="preserve">By severity</t>
  </si>
  <si>
    <t xml:space="preserve">Count</t>
  </si>
  <si>
    <t xml:space="preserve">% </t>
  </si>
  <si>
    <t xml:space="preserve">Total controls</t>
  </si>
  <si>
    <t xml:space="preserve">By status</t>
  </si>
  <si>
    <t xml:space="preserve">In Progress</t>
  </si>
  <si>
    <t xml:space="preserve">Implemented</t>
  </si>
  <si>
    <t xml:space="preserve">Verified</t>
  </si>
  <si>
    <t xml:space="preserve">N/A</t>
  </si>
  <si>
    <t xml:space="preserve">% complete (Implemented + Verified)</t>
  </si>
  <si>
    <t xml:space="preserve">By chapter</t>
  </si>
  <si>
    <t xml:space="preserve">1. Inventory, Discovery &amp; Threat Modeling for AI Systems</t>
  </si>
  <si>
    <t xml:space="preserve">2. Data Classification &amp; AI Data-Flow Control</t>
  </si>
  <si>
    <t xml:space="preserve">3. Technical Controls for SaaS AI Consumption</t>
  </si>
  <si>
    <t xml:space="preserve">4. Data Loss Prevention (DLP) on Prompts &amp; Outputs</t>
  </si>
  <si>
    <t xml:space="preserve">5. Identities &amp; Permissions</t>
  </si>
  <si>
    <t xml:space="preserve">6. Network Security &amp; Isolation</t>
  </si>
  <si>
    <t xml:space="preserve">7. Encryption &amp; Secrets Management</t>
  </si>
  <si>
    <t xml:space="preserve">8. Model &amp; Agent Security</t>
  </si>
  <si>
    <t xml:space="preserve">9. RAG &amp; Model Supply-Chain Security</t>
  </si>
  <si>
    <t xml:space="preserve">10. Monitoring, Logging &amp; Detection</t>
  </si>
  <si>
    <t xml:space="preserve">11. Evaluation, Testing &amp; Red Teaming</t>
  </si>
  <si>
    <t xml:space="preserve">12. Privacy Enforcement &amp; PPL Amendment 13 Compliance</t>
  </si>
  <si>
    <t xml:space="preserve">13. Controls for AI Coding &amp; Development Tools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</si>
</sst>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1"/>
      <color rgb="FF2E5597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2E5597"/>
      </patternFill>
    </fill>
    <fill>
      <patternFill patternType="solid">
        <fgColor rgb="FFED7D31"/>
        <bgColor rgb="FFFF8080"/>
      </patternFill>
    </fill>
    <fill>
      <patternFill patternType="solid">
        <fgColor rgb="FFC00000"/>
        <bgColor rgb="FF800000"/>
      </patternFill>
    </fill>
    <fill>
      <patternFill patternType="solid">
        <fgColor rgb="FFFFC000"/>
        <bgColor rgb="FFFF9900"/>
      </patternFill>
    </fill>
    <fill>
      <patternFill patternType="solid">
        <fgColor rgb="FFF2DEDE"/>
        <bgColor rgb="FFD9D9D9"/>
      </patternFill>
    </fill>
    <fill>
      <patternFill patternType="solid">
        <fgColor rgb="FFFFEB9C"/>
        <bgColor rgb="FFFFCC99"/>
      </patternFill>
    </fill>
    <fill>
      <patternFill patternType="solid">
        <fgColor rgb="FFD9EAD3"/>
        <bgColor rgb="FFC6EFCE"/>
      </patternFill>
    </fill>
    <fill>
      <patternFill patternType="solid">
        <fgColor rgb="FFC6EFCE"/>
        <bgColor rgb="FFD9EAD3"/>
      </patternFill>
    </fill>
    <fill>
      <patternFill patternType="solid">
        <fgColor rgb="FFD9D9D9"/>
        <bgColor rgb="FFD9EA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7CDD6"/>
      </left>
      <right style="thin">
        <color rgb="FFC7CDD6"/>
      </right>
      <top style="thin">
        <color rgb="FFC7CDD6"/>
      </top>
      <bottom style="thin">
        <color rgb="FFC7CD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D7D31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F2DEDE"/>
          <bgColor rgb="FF000000"/>
        </patternFill>
      </fill>
    </dxf>
    <dxf>
      <fill>
        <patternFill patternType="solid">
          <fgColor rgb="FF9C3A38"/>
          <bgColor rgb="FF000000"/>
        </patternFill>
      </fill>
    </dxf>
    <dxf>
      <font>
        <name val="Arial"/>
        <charset val="1"/>
        <family val="0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274E13"/>
        <sz val="10"/>
      </font>
      <fill>
        <patternFill>
          <bgColor rgb="FFD9EAD3"/>
        </patternFill>
      </fill>
    </dxf>
    <dxf>
      <font>
        <name val="Arial"/>
        <charset val="1"/>
        <family val="0"/>
        <color rgb="FF9C6500"/>
        <sz val="10"/>
      </font>
      <fill>
        <patternFill>
          <bgColor rgb="FFFFEB9C"/>
        </patternFill>
      </fill>
    </dxf>
    <dxf>
      <font>
        <name val="Arial"/>
        <charset val="1"/>
        <family val="0"/>
        <color rgb="FF9C3A38"/>
        <sz val="10"/>
      </font>
      <fill>
        <patternFill>
          <bgColor rgb="FFF2DEDE"/>
        </patternFill>
      </fill>
    </dxf>
    <dxf>
      <font>
        <name val="Arial"/>
        <charset val="1"/>
        <family val="0"/>
        <color rgb="FF595959"/>
        <sz val="10"/>
      </font>
      <fill>
        <patternFill>
          <bgColor rgb="FFD9D9D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C7CDD6"/>
      <rgbColor rgb="FF808080"/>
      <rgbColor rgb="FF9999FF"/>
      <rgbColor rgb="FF9C3A38"/>
      <rgbColor rgb="FFF2DEDE"/>
      <rgbColor rgb="FFD9EAD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D7D31"/>
      <rgbColor rgb="FF595959"/>
      <rgbColor rgb="FF969696"/>
      <rgbColor rgb="FF1F3864"/>
      <rgbColor rgb="FF339966"/>
      <rgbColor rgb="FF003300"/>
      <rgbColor rgb="FF274E13"/>
      <rgbColor rgb="FF993300"/>
      <rgbColor rgb="FF993366"/>
      <rgbColor rgb="FF2E5597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38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64"/>
    <col collapsed="false" customWidth="true" hidden="false" outlineLevel="0" max="7" min="7" style="0" width="54"/>
    <col collapsed="false" customWidth="true" hidden="false" outlineLevel="0" max="8" min="8" style="0" width="15"/>
    <col collapsed="false" customWidth="true" hidden="false" outlineLevel="0" max="9" min="9" style="0" width="16"/>
    <col collapsed="false" customWidth="true" hidden="false" outlineLevel="0" max="10" min="10" style="0" width="28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35.05" hidden="false" customHeight="false" outlineLevel="0" collapsed="false">
      <c r="A3" s="3" t="s">
        <v>11</v>
      </c>
      <c r="B3" s="4" t="s">
        <v>12</v>
      </c>
      <c r="C3" s="4" t="s">
        <v>13</v>
      </c>
      <c r="D3" s="5" t="s">
        <v>14</v>
      </c>
      <c r="E3" s="3" t="s">
        <v>15</v>
      </c>
      <c r="F3" s="4" t="s">
        <v>16</v>
      </c>
      <c r="G3" s="4" t="s">
        <v>17</v>
      </c>
      <c r="H3" s="3" t="s">
        <v>18</v>
      </c>
      <c r="I3" s="6"/>
      <c r="J3" s="4"/>
    </row>
    <row r="4" customFormat="false" ht="23.85" hidden="false" customHeight="false" outlineLevel="0" collapsed="false">
      <c r="A4" s="3" t="s">
        <v>19</v>
      </c>
      <c r="B4" s="4" t="s">
        <v>12</v>
      </c>
      <c r="C4" s="4" t="s">
        <v>20</v>
      </c>
      <c r="D4" s="7" t="s">
        <v>21</v>
      </c>
      <c r="E4" s="3" t="s">
        <v>22</v>
      </c>
      <c r="F4" s="4" t="s">
        <v>23</v>
      </c>
      <c r="G4" s="4" t="s">
        <v>24</v>
      </c>
      <c r="H4" s="3" t="s">
        <v>18</v>
      </c>
      <c r="I4" s="6"/>
      <c r="J4" s="4"/>
    </row>
    <row r="5" customFormat="false" ht="35.05" hidden="false" customHeight="false" outlineLevel="0" collapsed="false">
      <c r="A5" s="3" t="s">
        <v>25</v>
      </c>
      <c r="B5" s="4" t="s">
        <v>12</v>
      </c>
      <c r="C5" s="4" t="s">
        <v>26</v>
      </c>
      <c r="D5" s="5" t="s">
        <v>14</v>
      </c>
      <c r="E5" s="3" t="s">
        <v>15</v>
      </c>
      <c r="F5" s="4" t="s">
        <v>27</v>
      </c>
      <c r="G5" s="4" t="s">
        <v>28</v>
      </c>
      <c r="H5" s="3" t="s">
        <v>18</v>
      </c>
      <c r="I5" s="6"/>
      <c r="J5" s="4"/>
    </row>
    <row r="6" customFormat="false" ht="35.05" hidden="false" customHeight="false" outlineLevel="0" collapsed="false">
      <c r="A6" s="3" t="s">
        <v>29</v>
      </c>
      <c r="B6" s="4" t="s">
        <v>12</v>
      </c>
      <c r="C6" s="4" t="s">
        <v>30</v>
      </c>
      <c r="D6" s="5" t="s">
        <v>14</v>
      </c>
      <c r="E6" s="3" t="s">
        <v>31</v>
      </c>
      <c r="F6" s="4" t="s">
        <v>32</v>
      </c>
      <c r="G6" s="4" t="s">
        <v>33</v>
      </c>
      <c r="H6" s="3" t="s">
        <v>18</v>
      </c>
      <c r="I6" s="6"/>
      <c r="J6" s="4"/>
    </row>
    <row r="7" customFormat="false" ht="23.85" hidden="false" customHeight="false" outlineLevel="0" collapsed="false">
      <c r="A7" s="3" t="s">
        <v>34</v>
      </c>
      <c r="B7" s="4" t="s">
        <v>35</v>
      </c>
      <c r="C7" s="4" t="s">
        <v>36</v>
      </c>
      <c r="D7" s="5" t="s">
        <v>14</v>
      </c>
      <c r="E7" s="3" t="s">
        <v>15</v>
      </c>
      <c r="F7" s="4" t="s">
        <v>37</v>
      </c>
      <c r="G7" s="4" t="s">
        <v>38</v>
      </c>
      <c r="H7" s="3" t="s">
        <v>18</v>
      </c>
      <c r="I7" s="6"/>
      <c r="J7" s="4"/>
    </row>
    <row r="8" customFormat="false" ht="23.85" hidden="false" customHeight="false" outlineLevel="0" collapsed="false">
      <c r="A8" s="3" t="s">
        <v>39</v>
      </c>
      <c r="B8" s="4" t="s">
        <v>35</v>
      </c>
      <c r="C8" s="4" t="s">
        <v>40</v>
      </c>
      <c r="D8" s="5" t="s">
        <v>14</v>
      </c>
      <c r="E8" s="3" t="s">
        <v>22</v>
      </c>
      <c r="F8" s="4" t="s">
        <v>41</v>
      </c>
      <c r="G8" s="4" t="s">
        <v>42</v>
      </c>
      <c r="H8" s="3" t="s">
        <v>18</v>
      </c>
      <c r="I8" s="6"/>
      <c r="J8" s="4"/>
    </row>
    <row r="9" customFormat="false" ht="23.85" hidden="false" customHeight="false" outlineLevel="0" collapsed="false">
      <c r="A9" s="3" t="s">
        <v>43</v>
      </c>
      <c r="B9" s="4" t="s">
        <v>35</v>
      </c>
      <c r="C9" s="4" t="s">
        <v>44</v>
      </c>
      <c r="D9" s="7" t="s">
        <v>21</v>
      </c>
      <c r="E9" s="3" t="s">
        <v>15</v>
      </c>
      <c r="F9" s="4" t="s">
        <v>45</v>
      </c>
      <c r="G9" s="4" t="s">
        <v>46</v>
      </c>
      <c r="H9" s="3" t="s">
        <v>18</v>
      </c>
      <c r="I9" s="6"/>
      <c r="J9" s="4"/>
    </row>
    <row r="10" customFormat="false" ht="23.85" hidden="false" customHeight="false" outlineLevel="0" collapsed="false">
      <c r="A10" s="3" t="s">
        <v>47</v>
      </c>
      <c r="B10" s="4" t="s">
        <v>35</v>
      </c>
      <c r="C10" s="4" t="s">
        <v>48</v>
      </c>
      <c r="D10" s="8" t="s">
        <v>49</v>
      </c>
      <c r="E10" s="3" t="s">
        <v>15</v>
      </c>
      <c r="F10" s="4" t="s">
        <v>50</v>
      </c>
      <c r="G10" s="4" t="s">
        <v>51</v>
      </c>
      <c r="H10" s="3" t="s">
        <v>18</v>
      </c>
      <c r="I10" s="6"/>
      <c r="J10" s="4"/>
    </row>
    <row r="11" customFormat="false" ht="23.85" hidden="false" customHeight="false" outlineLevel="0" collapsed="false">
      <c r="A11" s="3" t="s">
        <v>52</v>
      </c>
      <c r="B11" s="4" t="s">
        <v>35</v>
      </c>
      <c r="C11" s="4" t="s">
        <v>53</v>
      </c>
      <c r="D11" s="5" t="s">
        <v>14</v>
      </c>
      <c r="E11" s="3" t="s">
        <v>31</v>
      </c>
      <c r="F11" s="4" t="s">
        <v>54</v>
      </c>
      <c r="G11" s="4" t="s">
        <v>55</v>
      </c>
      <c r="H11" s="3" t="s">
        <v>18</v>
      </c>
      <c r="I11" s="6"/>
      <c r="J11" s="4"/>
    </row>
    <row r="12" customFormat="false" ht="23.85" hidden="false" customHeight="false" outlineLevel="0" collapsed="false">
      <c r="A12" s="3" t="s">
        <v>56</v>
      </c>
      <c r="B12" s="4" t="s">
        <v>57</v>
      </c>
      <c r="C12" s="4" t="s">
        <v>58</v>
      </c>
      <c r="D12" s="5" t="s">
        <v>14</v>
      </c>
      <c r="E12" s="3" t="s">
        <v>22</v>
      </c>
      <c r="F12" s="4" t="s">
        <v>59</v>
      </c>
      <c r="G12" s="4" t="s">
        <v>60</v>
      </c>
      <c r="H12" s="3" t="s">
        <v>18</v>
      </c>
      <c r="I12" s="6"/>
      <c r="J12" s="4"/>
    </row>
    <row r="13" customFormat="false" ht="23.85" hidden="false" customHeight="false" outlineLevel="0" collapsed="false">
      <c r="A13" s="3" t="s">
        <v>61</v>
      </c>
      <c r="B13" s="4" t="s">
        <v>57</v>
      </c>
      <c r="C13" s="4" t="s">
        <v>62</v>
      </c>
      <c r="D13" s="5" t="s">
        <v>14</v>
      </c>
      <c r="E13" s="3" t="s">
        <v>22</v>
      </c>
      <c r="F13" s="4" t="s">
        <v>63</v>
      </c>
      <c r="G13" s="4" t="s">
        <v>64</v>
      </c>
      <c r="H13" s="3" t="s">
        <v>18</v>
      </c>
      <c r="I13" s="6"/>
      <c r="J13" s="4"/>
    </row>
    <row r="14" customFormat="false" ht="23.85" hidden="false" customHeight="false" outlineLevel="0" collapsed="false">
      <c r="A14" s="3" t="s">
        <v>65</v>
      </c>
      <c r="B14" s="4" t="s">
        <v>57</v>
      </c>
      <c r="C14" s="4" t="s">
        <v>66</v>
      </c>
      <c r="D14" s="5" t="s">
        <v>14</v>
      </c>
      <c r="E14" s="3" t="s">
        <v>22</v>
      </c>
      <c r="F14" s="4" t="s">
        <v>67</v>
      </c>
      <c r="G14" s="4" t="s">
        <v>68</v>
      </c>
      <c r="H14" s="3" t="s">
        <v>18</v>
      </c>
      <c r="I14" s="6"/>
      <c r="J14" s="4"/>
    </row>
    <row r="15" customFormat="false" ht="23.85" hidden="false" customHeight="false" outlineLevel="0" collapsed="false">
      <c r="A15" s="3" t="s">
        <v>69</v>
      </c>
      <c r="B15" s="4" t="s">
        <v>57</v>
      </c>
      <c r="C15" s="4" t="s">
        <v>70</v>
      </c>
      <c r="D15" s="5" t="s">
        <v>14</v>
      </c>
      <c r="E15" s="3" t="s">
        <v>22</v>
      </c>
      <c r="F15" s="4" t="s">
        <v>71</v>
      </c>
      <c r="G15" s="4" t="s">
        <v>72</v>
      </c>
      <c r="H15" s="3" t="s">
        <v>18</v>
      </c>
      <c r="I15" s="6"/>
      <c r="J15" s="4"/>
    </row>
    <row r="16" customFormat="false" ht="23.85" hidden="false" customHeight="false" outlineLevel="0" collapsed="false">
      <c r="A16" s="3" t="s">
        <v>73</v>
      </c>
      <c r="B16" s="4" t="s">
        <v>57</v>
      </c>
      <c r="C16" s="4" t="s">
        <v>74</v>
      </c>
      <c r="D16" s="8" t="s">
        <v>49</v>
      </c>
      <c r="E16" s="3" t="s">
        <v>22</v>
      </c>
      <c r="F16" s="4" t="s">
        <v>75</v>
      </c>
      <c r="G16" s="4" t="s">
        <v>76</v>
      </c>
      <c r="H16" s="3" t="s">
        <v>18</v>
      </c>
      <c r="I16" s="6"/>
      <c r="J16" s="4"/>
    </row>
    <row r="17" customFormat="false" ht="35.05" hidden="false" customHeight="false" outlineLevel="0" collapsed="false">
      <c r="A17" s="3" t="s">
        <v>77</v>
      </c>
      <c r="B17" s="4" t="s">
        <v>57</v>
      </c>
      <c r="C17" s="4" t="s">
        <v>78</v>
      </c>
      <c r="D17" s="8" t="s">
        <v>49</v>
      </c>
      <c r="E17" s="3" t="s">
        <v>22</v>
      </c>
      <c r="F17" s="4" t="s">
        <v>79</v>
      </c>
      <c r="G17" s="4" t="s">
        <v>80</v>
      </c>
      <c r="H17" s="3" t="s">
        <v>18</v>
      </c>
      <c r="I17" s="6"/>
      <c r="J17" s="4"/>
    </row>
    <row r="18" customFormat="false" ht="46.25" hidden="false" customHeight="false" outlineLevel="0" collapsed="false">
      <c r="A18" s="3" t="s">
        <v>81</v>
      </c>
      <c r="B18" s="4" t="s">
        <v>57</v>
      </c>
      <c r="C18" s="4" t="s">
        <v>82</v>
      </c>
      <c r="D18" s="5" t="s">
        <v>14</v>
      </c>
      <c r="E18" s="3" t="s">
        <v>22</v>
      </c>
      <c r="F18" s="4" t="s">
        <v>83</v>
      </c>
      <c r="G18" s="4" t="s">
        <v>84</v>
      </c>
      <c r="H18" s="3" t="s">
        <v>18</v>
      </c>
      <c r="I18" s="6"/>
      <c r="J18" s="4"/>
    </row>
    <row r="19" customFormat="false" ht="23.85" hidden="false" customHeight="false" outlineLevel="0" collapsed="false">
      <c r="A19" s="3" t="s">
        <v>85</v>
      </c>
      <c r="B19" s="4" t="s">
        <v>86</v>
      </c>
      <c r="C19" s="4" t="s">
        <v>87</v>
      </c>
      <c r="D19" s="5" t="s">
        <v>14</v>
      </c>
      <c r="E19" s="3" t="s">
        <v>15</v>
      </c>
      <c r="F19" s="4" t="s">
        <v>88</v>
      </c>
      <c r="G19" s="4" t="s">
        <v>89</v>
      </c>
      <c r="H19" s="3" t="s">
        <v>18</v>
      </c>
      <c r="I19" s="6"/>
      <c r="J19" s="4"/>
    </row>
    <row r="20" customFormat="false" ht="23.85" hidden="false" customHeight="false" outlineLevel="0" collapsed="false">
      <c r="A20" s="3" t="s">
        <v>90</v>
      </c>
      <c r="B20" s="4" t="s">
        <v>86</v>
      </c>
      <c r="C20" s="4" t="s">
        <v>91</v>
      </c>
      <c r="D20" s="5" t="s">
        <v>14</v>
      </c>
      <c r="E20" s="3" t="s">
        <v>15</v>
      </c>
      <c r="F20" s="4" t="s">
        <v>92</v>
      </c>
      <c r="G20" s="4" t="s">
        <v>93</v>
      </c>
      <c r="H20" s="3" t="s">
        <v>18</v>
      </c>
      <c r="I20" s="6"/>
      <c r="J20" s="4"/>
    </row>
    <row r="21" customFormat="false" ht="23.85" hidden="false" customHeight="false" outlineLevel="0" collapsed="false">
      <c r="A21" s="3" t="s">
        <v>94</v>
      </c>
      <c r="B21" s="4" t="s">
        <v>86</v>
      </c>
      <c r="C21" s="4" t="s">
        <v>95</v>
      </c>
      <c r="D21" s="8" t="s">
        <v>49</v>
      </c>
      <c r="E21" s="3" t="s">
        <v>15</v>
      </c>
      <c r="F21" s="4" t="s">
        <v>96</v>
      </c>
      <c r="G21" s="4" t="s">
        <v>97</v>
      </c>
      <c r="H21" s="3" t="s">
        <v>18</v>
      </c>
      <c r="I21" s="6"/>
      <c r="J21" s="4"/>
    </row>
    <row r="22" customFormat="false" ht="23.85" hidden="false" customHeight="false" outlineLevel="0" collapsed="false">
      <c r="A22" s="3" t="s">
        <v>98</v>
      </c>
      <c r="B22" s="4" t="s">
        <v>86</v>
      </c>
      <c r="C22" s="4" t="s">
        <v>99</v>
      </c>
      <c r="D22" s="5" t="s">
        <v>14</v>
      </c>
      <c r="E22" s="3" t="s">
        <v>15</v>
      </c>
      <c r="F22" s="4" t="s">
        <v>100</v>
      </c>
      <c r="G22" s="4" t="s">
        <v>101</v>
      </c>
      <c r="H22" s="3" t="s">
        <v>18</v>
      </c>
      <c r="I22" s="6"/>
      <c r="J22" s="4"/>
    </row>
    <row r="23" customFormat="false" ht="35.05" hidden="false" customHeight="false" outlineLevel="0" collapsed="false">
      <c r="A23" s="3" t="s">
        <v>102</v>
      </c>
      <c r="B23" s="4" t="s">
        <v>103</v>
      </c>
      <c r="C23" s="4" t="s">
        <v>104</v>
      </c>
      <c r="D23" s="7" t="s">
        <v>21</v>
      </c>
      <c r="E23" s="3" t="s">
        <v>31</v>
      </c>
      <c r="F23" s="4" t="s">
        <v>105</v>
      </c>
      <c r="G23" s="4" t="s">
        <v>106</v>
      </c>
      <c r="H23" s="3" t="s">
        <v>18</v>
      </c>
      <c r="I23" s="6"/>
      <c r="J23" s="4"/>
    </row>
    <row r="24" customFormat="false" ht="23.85" hidden="false" customHeight="false" outlineLevel="0" collapsed="false">
      <c r="A24" s="3" t="s">
        <v>107</v>
      </c>
      <c r="B24" s="4" t="s">
        <v>103</v>
      </c>
      <c r="C24" s="4" t="s">
        <v>108</v>
      </c>
      <c r="D24" s="5" t="s">
        <v>14</v>
      </c>
      <c r="E24" s="3" t="s">
        <v>31</v>
      </c>
      <c r="F24" s="4" t="s">
        <v>109</v>
      </c>
      <c r="G24" s="4" t="s">
        <v>110</v>
      </c>
      <c r="H24" s="3" t="s">
        <v>18</v>
      </c>
      <c r="I24" s="6"/>
      <c r="J24" s="4"/>
    </row>
    <row r="25" customFormat="false" ht="23.85" hidden="false" customHeight="false" outlineLevel="0" collapsed="false">
      <c r="A25" s="3" t="s">
        <v>111</v>
      </c>
      <c r="B25" s="4" t="s">
        <v>103</v>
      </c>
      <c r="C25" s="4" t="s">
        <v>112</v>
      </c>
      <c r="D25" s="5" t="s">
        <v>14</v>
      </c>
      <c r="E25" s="3" t="s">
        <v>31</v>
      </c>
      <c r="F25" s="4" t="s">
        <v>113</v>
      </c>
      <c r="G25" s="4" t="s">
        <v>114</v>
      </c>
      <c r="H25" s="3" t="s">
        <v>18</v>
      </c>
      <c r="I25" s="6"/>
      <c r="J25" s="4"/>
    </row>
    <row r="26" customFormat="false" ht="23.85" hidden="false" customHeight="false" outlineLevel="0" collapsed="false">
      <c r="A26" s="3" t="s">
        <v>115</v>
      </c>
      <c r="B26" s="4" t="s">
        <v>103</v>
      </c>
      <c r="C26" s="4" t="s">
        <v>116</v>
      </c>
      <c r="D26" s="8" t="s">
        <v>49</v>
      </c>
      <c r="E26" s="3" t="s">
        <v>31</v>
      </c>
      <c r="F26" s="4" t="s">
        <v>117</v>
      </c>
      <c r="G26" s="4" t="s">
        <v>118</v>
      </c>
      <c r="H26" s="3" t="s">
        <v>18</v>
      </c>
      <c r="I26" s="6"/>
      <c r="J26" s="4"/>
    </row>
    <row r="27" customFormat="false" ht="23.85" hidden="false" customHeight="false" outlineLevel="0" collapsed="false">
      <c r="A27" s="3" t="s">
        <v>119</v>
      </c>
      <c r="B27" s="4" t="s">
        <v>120</v>
      </c>
      <c r="C27" s="4" t="s">
        <v>121</v>
      </c>
      <c r="D27" s="5" t="s">
        <v>14</v>
      </c>
      <c r="E27" s="3" t="s">
        <v>31</v>
      </c>
      <c r="F27" s="4" t="s">
        <v>122</v>
      </c>
      <c r="G27" s="4" t="s">
        <v>123</v>
      </c>
      <c r="H27" s="3" t="s">
        <v>18</v>
      </c>
      <c r="I27" s="6"/>
      <c r="J27" s="4"/>
    </row>
    <row r="28" customFormat="false" ht="23.85" hidden="false" customHeight="false" outlineLevel="0" collapsed="false">
      <c r="A28" s="3" t="s">
        <v>124</v>
      </c>
      <c r="B28" s="4" t="s">
        <v>120</v>
      </c>
      <c r="C28" s="4" t="s">
        <v>125</v>
      </c>
      <c r="D28" s="5" t="s">
        <v>14</v>
      </c>
      <c r="E28" s="3" t="s">
        <v>31</v>
      </c>
      <c r="F28" s="4" t="s">
        <v>126</v>
      </c>
      <c r="G28" s="4" t="s">
        <v>127</v>
      </c>
      <c r="H28" s="3" t="s">
        <v>18</v>
      </c>
      <c r="I28" s="6"/>
      <c r="J28" s="4"/>
    </row>
    <row r="29" customFormat="false" ht="23.85" hidden="false" customHeight="false" outlineLevel="0" collapsed="false">
      <c r="A29" s="3" t="s">
        <v>128</v>
      </c>
      <c r="B29" s="4" t="s">
        <v>120</v>
      </c>
      <c r="C29" s="4" t="s">
        <v>129</v>
      </c>
      <c r="D29" s="5" t="s">
        <v>14</v>
      </c>
      <c r="E29" s="3" t="s">
        <v>31</v>
      </c>
      <c r="F29" s="4" t="s">
        <v>130</v>
      </c>
      <c r="G29" s="4" t="s">
        <v>131</v>
      </c>
      <c r="H29" s="3" t="s">
        <v>18</v>
      </c>
      <c r="I29" s="6"/>
      <c r="J29" s="4"/>
    </row>
    <row r="30" customFormat="false" ht="23.85" hidden="false" customHeight="false" outlineLevel="0" collapsed="false">
      <c r="A30" s="3" t="s">
        <v>132</v>
      </c>
      <c r="B30" s="4" t="s">
        <v>120</v>
      </c>
      <c r="C30" s="4" t="s">
        <v>133</v>
      </c>
      <c r="D30" s="8" t="s">
        <v>49</v>
      </c>
      <c r="E30" s="3" t="s">
        <v>31</v>
      </c>
      <c r="F30" s="4" t="s">
        <v>134</v>
      </c>
      <c r="G30" s="4" t="s">
        <v>135</v>
      </c>
      <c r="H30" s="3" t="s">
        <v>18</v>
      </c>
      <c r="I30" s="6"/>
      <c r="J30" s="4"/>
    </row>
    <row r="31" customFormat="false" ht="23.85" hidden="false" customHeight="false" outlineLevel="0" collapsed="false">
      <c r="A31" s="3" t="s">
        <v>136</v>
      </c>
      <c r="B31" s="4" t="s">
        <v>137</v>
      </c>
      <c r="C31" s="4" t="s">
        <v>138</v>
      </c>
      <c r="D31" s="5" t="s">
        <v>14</v>
      </c>
      <c r="E31" s="3" t="s">
        <v>31</v>
      </c>
      <c r="F31" s="4" t="s">
        <v>139</v>
      </c>
      <c r="G31" s="4" t="s">
        <v>140</v>
      </c>
      <c r="H31" s="3" t="s">
        <v>18</v>
      </c>
      <c r="I31" s="6"/>
      <c r="J31" s="4"/>
    </row>
    <row r="32" customFormat="false" ht="23.85" hidden="false" customHeight="false" outlineLevel="0" collapsed="false">
      <c r="A32" s="3" t="s">
        <v>141</v>
      </c>
      <c r="B32" s="4" t="s">
        <v>137</v>
      </c>
      <c r="C32" s="4" t="s">
        <v>142</v>
      </c>
      <c r="D32" s="8" t="s">
        <v>49</v>
      </c>
      <c r="E32" s="3" t="s">
        <v>31</v>
      </c>
      <c r="F32" s="4" t="s">
        <v>143</v>
      </c>
      <c r="G32" s="4" t="s">
        <v>144</v>
      </c>
      <c r="H32" s="3" t="s">
        <v>18</v>
      </c>
      <c r="I32" s="6"/>
      <c r="J32" s="4"/>
    </row>
    <row r="33" customFormat="false" ht="23.85" hidden="false" customHeight="false" outlineLevel="0" collapsed="false">
      <c r="A33" s="3" t="s">
        <v>145</v>
      </c>
      <c r="B33" s="4" t="s">
        <v>137</v>
      </c>
      <c r="C33" s="4" t="s">
        <v>146</v>
      </c>
      <c r="D33" s="5" t="s">
        <v>14</v>
      </c>
      <c r="E33" s="3" t="s">
        <v>31</v>
      </c>
      <c r="F33" s="4" t="s">
        <v>147</v>
      </c>
      <c r="G33" s="4" t="s">
        <v>148</v>
      </c>
      <c r="H33" s="3" t="s">
        <v>18</v>
      </c>
      <c r="I33" s="6"/>
      <c r="J33" s="4"/>
    </row>
    <row r="34" customFormat="false" ht="15" hidden="false" customHeight="false" outlineLevel="0" collapsed="false">
      <c r="A34" s="3" t="s">
        <v>149</v>
      </c>
      <c r="B34" s="4" t="s">
        <v>137</v>
      </c>
      <c r="C34" s="4" t="s">
        <v>150</v>
      </c>
      <c r="D34" s="8" t="s">
        <v>49</v>
      </c>
      <c r="E34" s="3" t="s">
        <v>31</v>
      </c>
      <c r="F34" s="4" t="s">
        <v>151</v>
      </c>
      <c r="G34" s="4" t="s">
        <v>152</v>
      </c>
      <c r="H34" s="3" t="s">
        <v>18</v>
      </c>
      <c r="I34" s="6"/>
      <c r="J34" s="4"/>
    </row>
    <row r="35" customFormat="false" ht="23.85" hidden="false" customHeight="false" outlineLevel="0" collapsed="false">
      <c r="A35" s="3" t="s">
        <v>153</v>
      </c>
      <c r="B35" s="4" t="s">
        <v>154</v>
      </c>
      <c r="C35" s="4" t="s">
        <v>155</v>
      </c>
      <c r="D35" s="7" t="s">
        <v>21</v>
      </c>
      <c r="E35" s="3" t="s">
        <v>15</v>
      </c>
      <c r="F35" s="4" t="s">
        <v>156</v>
      </c>
      <c r="G35" s="4" t="s">
        <v>157</v>
      </c>
      <c r="H35" s="3" t="s">
        <v>18</v>
      </c>
      <c r="I35" s="6"/>
      <c r="J35" s="4"/>
    </row>
    <row r="36" customFormat="false" ht="23.85" hidden="false" customHeight="false" outlineLevel="0" collapsed="false">
      <c r="A36" s="3" t="s">
        <v>158</v>
      </c>
      <c r="B36" s="4" t="s">
        <v>154</v>
      </c>
      <c r="C36" s="4" t="s">
        <v>159</v>
      </c>
      <c r="D36" s="5" t="s">
        <v>14</v>
      </c>
      <c r="E36" s="3" t="s">
        <v>31</v>
      </c>
      <c r="F36" s="4" t="s">
        <v>160</v>
      </c>
      <c r="G36" s="4" t="s">
        <v>161</v>
      </c>
      <c r="H36" s="3" t="s">
        <v>18</v>
      </c>
      <c r="I36" s="6"/>
      <c r="J36" s="4"/>
    </row>
    <row r="37" customFormat="false" ht="23.85" hidden="false" customHeight="false" outlineLevel="0" collapsed="false">
      <c r="A37" s="3" t="s">
        <v>162</v>
      </c>
      <c r="B37" s="4" t="s">
        <v>154</v>
      </c>
      <c r="C37" s="4" t="s">
        <v>163</v>
      </c>
      <c r="D37" s="5" t="s">
        <v>14</v>
      </c>
      <c r="E37" s="3" t="s">
        <v>31</v>
      </c>
      <c r="F37" s="4" t="s">
        <v>164</v>
      </c>
      <c r="G37" s="4" t="s">
        <v>165</v>
      </c>
      <c r="H37" s="3" t="s">
        <v>18</v>
      </c>
      <c r="I37" s="6"/>
      <c r="J37" s="4"/>
    </row>
    <row r="38" customFormat="false" ht="23.85" hidden="false" customHeight="false" outlineLevel="0" collapsed="false">
      <c r="A38" s="3" t="s">
        <v>166</v>
      </c>
      <c r="B38" s="4" t="s">
        <v>154</v>
      </c>
      <c r="C38" s="4" t="s">
        <v>167</v>
      </c>
      <c r="D38" s="5" t="s">
        <v>14</v>
      </c>
      <c r="E38" s="3" t="s">
        <v>15</v>
      </c>
      <c r="F38" s="4" t="s">
        <v>168</v>
      </c>
      <c r="G38" s="4" t="s">
        <v>169</v>
      </c>
      <c r="H38" s="3" t="s">
        <v>18</v>
      </c>
      <c r="I38" s="6"/>
      <c r="J38" s="4"/>
    </row>
    <row r="39" customFormat="false" ht="23.85" hidden="false" customHeight="false" outlineLevel="0" collapsed="false">
      <c r="A39" s="3" t="s">
        <v>170</v>
      </c>
      <c r="B39" s="4" t="s">
        <v>154</v>
      </c>
      <c r="C39" s="4" t="s">
        <v>171</v>
      </c>
      <c r="D39" s="5" t="s">
        <v>14</v>
      </c>
      <c r="E39" s="3" t="s">
        <v>15</v>
      </c>
      <c r="F39" s="4" t="s">
        <v>172</v>
      </c>
      <c r="G39" s="4" t="s">
        <v>173</v>
      </c>
      <c r="H39" s="3" t="s">
        <v>18</v>
      </c>
      <c r="I39" s="6"/>
      <c r="J39" s="4"/>
    </row>
    <row r="40" customFormat="false" ht="23.85" hidden="false" customHeight="false" outlineLevel="0" collapsed="false">
      <c r="A40" s="3" t="s">
        <v>174</v>
      </c>
      <c r="B40" s="4" t="s">
        <v>154</v>
      </c>
      <c r="C40" s="4" t="s">
        <v>175</v>
      </c>
      <c r="D40" s="5" t="s">
        <v>14</v>
      </c>
      <c r="E40" s="3" t="s">
        <v>15</v>
      </c>
      <c r="F40" s="4" t="s">
        <v>176</v>
      </c>
      <c r="G40" s="4" t="s">
        <v>177</v>
      </c>
      <c r="H40" s="3" t="s">
        <v>18</v>
      </c>
      <c r="I40" s="6"/>
      <c r="J40" s="4"/>
    </row>
    <row r="41" customFormat="false" ht="23.85" hidden="false" customHeight="false" outlineLevel="0" collapsed="false">
      <c r="A41" s="3" t="s">
        <v>178</v>
      </c>
      <c r="B41" s="4" t="s">
        <v>154</v>
      </c>
      <c r="C41" s="4" t="s">
        <v>179</v>
      </c>
      <c r="D41" s="5" t="s">
        <v>14</v>
      </c>
      <c r="E41" s="3" t="s">
        <v>31</v>
      </c>
      <c r="F41" s="4" t="s">
        <v>180</v>
      </c>
      <c r="G41" s="4" t="s">
        <v>181</v>
      </c>
      <c r="H41" s="3" t="s">
        <v>18</v>
      </c>
      <c r="I41" s="6"/>
      <c r="J41" s="4"/>
    </row>
    <row r="42" customFormat="false" ht="23.85" hidden="false" customHeight="false" outlineLevel="0" collapsed="false">
      <c r="A42" s="3" t="s">
        <v>182</v>
      </c>
      <c r="B42" s="4" t="s">
        <v>154</v>
      </c>
      <c r="C42" s="4" t="s">
        <v>183</v>
      </c>
      <c r="D42" s="8" t="s">
        <v>49</v>
      </c>
      <c r="E42" s="3" t="s">
        <v>31</v>
      </c>
      <c r="F42" s="4" t="s">
        <v>184</v>
      </c>
      <c r="G42" s="4" t="s">
        <v>185</v>
      </c>
      <c r="H42" s="3" t="s">
        <v>18</v>
      </c>
      <c r="I42" s="6"/>
      <c r="J42" s="4"/>
    </row>
    <row r="43" customFormat="false" ht="23.85" hidden="false" customHeight="false" outlineLevel="0" collapsed="false">
      <c r="A43" s="3" t="s">
        <v>186</v>
      </c>
      <c r="B43" s="4" t="s">
        <v>154</v>
      </c>
      <c r="C43" s="4" t="s">
        <v>187</v>
      </c>
      <c r="D43" s="8" t="s">
        <v>49</v>
      </c>
      <c r="E43" s="3" t="s">
        <v>15</v>
      </c>
      <c r="F43" s="4" t="s">
        <v>188</v>
      </c>
      <c r="G43" s="4" t="s">
        <v>189</v>
      </c>
      <c r="H43" s="3" t="s">
        <v>18</v>
      </c>
      <c r="I43" s="6"/>
      <c r="J43" s="4"/>
    </row>
    <row r="44" customFormat="false" ht="23.85" hidden="false" customHeight="false" outlineLevel="0" collapsed="false">
      <c r="A44" s="3" t="s">
        <v>190</v>
      </c>
      <c r="B44" s="4" t="s">
        <v>154</v>
      </c>
      <c r="C44" s="4" t="s">
        <v>191</v>
      </c>
      <c r="D44" s="8" t="s">
        <v>49</v>
      </c>
      <c r="E44" s="3" t="s">
        <v>31</v>
      </c>
      <c r="F44" s="4" t="s">
        <v>192</v>
      </c>
      <c r="G44" s="4" t="s">
        <v>193</v>
      </c>
      <c r="H44" s="3" t="s">
        <v>18</v>
      </c>
      <c r="I44" s="6"/>
      <c r="J44" s="4"/>
    </row>
    <row r="45" customFormat="false" ht="23.85" hidden="false" customHeight="false" outlineLevel="0" collapsed="false">
      <c r="A45" s="3" t="s">
        <v>194</v>
      </c>
      <c r="B45" s="4" t="s">
        <v>195</v>
      </c>
      <c r="C45" s="4" t="s">
        <v>196</v>
      </c>
      <c r="D45" s="5" t="s">
        <v>14</v>
      </c>
      <c r="E45" s="3" t="s">
        <v>31</v>
      </c>
      <c r="F45" s="4" t="s">
        <v>197</v>
      </c>
      <c r="G45" s="4" t="s">
        <v>198</v>
      </c>
      <c r="H45" s="3" t="s">
        <v>18</v>
      </c>
      <c r="I45" s="6"/>
      <c r="J45" s="4"/>
    </row>
    <row r="46" customFormat="false" ht="23.85" hidden="false" customHeight="false" outlineLevel="0" collapsed="false">
      <c r="A46" s="3" t="s">
        <v>199</v>
      </c>
      <c r="B46" s="4" t="s">
        <v>195</v>
      </c>
      <c r="C46" s="4" t="s">
        <v>200</v>
      </c>
      <c r="D46" s="5" t="s">
        <v>14</v>
      </c>
      <c r="E46" s="3" t="s">
        <v>31</v>
      </c>
      <c r="F46" s="4" t="s">
        <v>201</v>
      </c>
      <c r="G46" s="4" t="s">
        <v>202</v>
      </c>
      <c r="H46" s="3" t="s">
        <v>18</v>
      </c>
      <c r="I46" s="6"/>
      <c r="J46" s="4"/>
    </row>
    <row r="47" customFormat="false" ht="23.85" hidden="false" customHeight="false" outlineLevel="0" collapsed="false">
      <c r="A47" s="3" t="s">
        <v>203</v>
      </c>
      <c r="B47" s="4" t="s">
        <v>195</v>
      </c>
      <c r="C47" s="4" t="s">
        <v>204</v>
      </c>
      <c r="D47" s="5" t="s">
        <v>14</v>
      </c>
      <c r="E47" s="3" t="s">
        <v>31</v>
      </c>
      <c r="F47" s="4" t="s">
        <v>205</v>
      </c>
      <c r="G47" s="4" t="s">
        <v>206</v>
      </c>
      <c r="H47" s="3" t="s">
        <v>18</v>
      </c>
      <c r="I47" s="6"/>
      <c r="J47" s="4"/>
    </row>
    <row r="48" customFormat="false" ht="23.85" hidden="false" customHeight="false" outlineLevel="0" collapsed="false">
      <c r="A48" s="3" t="s">
        <v>207</v>
      </c>
      <c r="B48" s="4" t="s">
        <v>195</v>
      </c>
      <c r="C48" s="4" t="s">
        <v>208</v>
      </c>
      <c r="D48" s="8" t="s">
        <v>49</v>
      </c>
      <c r="E48" s="3" t="s">
        <v>31</v>
      </c>
      <c r="F48" s="4" t="s">
        <v>209</v>
      </c>
      <c r="G48" s="4" t="s">
        <v>210</v>
      </c>
      <c r="H48" s="3" t="s">
        <v>18</v>
      </c>
      <c r="I48" s="6"/>
      <c r="J48" s="4"/>
    </row>
    <row r="49" customFormat="false" ht="23.85" hidden="false" customHeight="false" outlineLevel="0" collapsed="false">
      <c r="A49" s="3" t="s">
        <v>211</v>
      </c>
      <c r="B49" s="4" t="s">
        <v>212</v>
      </c>
      <c r="C49" s="4" t="s">
        <v>213</v>
      </c>
      <c r="D49" s="5" t="s">
        <v>14</v>
      </c>
      <c r="E49" s="3" t="s">
        <v>15</v>
      </c>
      <c r="F49" s="4" t="s">
        <v>214</v>
      </c>
      <c r="G49" s="4" t="s">
        <v>215</v>
      </c>
      <c r="H49" s="3" t="s">
        <v>18</v>
      </c>
      <c r="I49" s="6"/>
      <c r="J49" s="4"/>
    </row>
    <row r="50" customFormat="false" ht="23.85" hidden="false" customHeight="false" outlineLevel="0" collapsed="false">
      <c r="A50" s="3" t="s">
        <v>216</v>
      </c>
      <c r="B50" s="4" t="s">
        <v>212</v>
      </c>
      <c r="C50" s="4" t="s">
        <v>217</v>
      </c>
      <c r="D50" s="5" t="s">
        <v>14</v>
      </c>
      <c r="E50" s="3" t="s">
        <v>15</v>
      </c>
      <c r="F50" s="4" t="s">
        <v>218</v>
      </c>
      <c r="G50" s="4" t="s">
        <v>219</v>
      </c>
      <c r="H50" s="3" t="s">
        <v>18</v>
      </c>
      <c r="I50" s="6"/>
      <c r="J50" s="4"/>
    </row>
    <row r="51" customFormat="false" ht="23.85" hidden="false" customHeight="false" outlineLevel="0" collapsed="false">
      <c r="A51" s="3" t="s">
        <v>220</v>
      </c>
      <c r="B51" s="4" t="s">
        <v>212</v>
      </c>
      <c r="C51" s="4" t="s">
        <v>221</v>
      </c>
      <c r="D51" s="8" t="s">
        <v>49</v>
      </c>
      <c r="E51" s="3" t="s">
        <v>31</v>
      </c>
      <c r="F51" s="4" t="s">
        <v>222</v>
      </c>
      <c r="G51" s="4" t="s">
        <v>223</v>
      </c>
      <c r="H51" s="3" t="s">
        <v>18</v>
      </c>
      <c r="I51" s="6"/>
      <c r="J51" s="4"/>
    </row>
    <row r="52" customFormat="false" ht="23.85" hidden="false" customHeight="false" outlineLevel="0" collapsed="false">
      <c r="A52" s="3" t="s">
        <v>224</v>
      </c>
      <c r="B52" s="4" t="s">
        <v>212</v>
      </c>
      <c r="C52" s="4" t="s">
        <v>225</v>
      </c>
      <c r="D52" s="5" t="s">
        <v>14</v>
      </c>
      <c r="E52" s="3" t="s">
        <v>15</v>
      </c>
      <c r="F52" s="4" t="s">
        <v>226</v>
      </c>
      <c r="G52" s="4" t="s">
        <v>227</v>
      </c>
      <c r="H52" s="3" t="s">
        <v>18</v>
      </c>
      <c r="I52" s="6"/>
      <c r="J52" s="4"/>
    </row>
    <row r="53" customFormat="false" ht="23.85" hidden="false" customHeight="false" outlineLevel="0" collapsed="false">
      <c r="A53" s="3" t="s">
        <v>228</v>
      </c>
      <c r="B53" s="4" t="s">
        <v>229</v>
      </c>
      <c r="C53" s="4" t="s">
        <v>230</v>
      </c>
      <c r="D53" s="5" t="s">
        <v>14</v>
      </c>
      <c r="E53" s="3" t="s">
        <v>31</v>
      </c>
      <c r="F53" s="4" t="s">
        <v>231</v>
      </c>
      <c r="G53" s="4" t="s">
        <v>232</v>
      </c>
      <c r="H53" s="3" t="s">
        <v>18</v>
      </c>
      <c r="I53" s="6"/>
      <c r="J53" s="4"/>
    </row>
    <row r="54" customFormat="false" ht="23.85" hidden="false" customHeight="false" outlineLevel="0" collapsed="false">
      <c r="A54" s="3" t="s">
        <v>233</v>
      </c>
      <c r="B54" s="4" t="s">
        <v>229</v>
      </c>
      <c r="C54" s="4" t="s">
        <v>234</v>
      </c>
      <c r="D54" s="5" t="s">
        <v>14</v>
      </c>
      <c r="E54" s="3" t="s">
        <v>31</v>
      </c>
      <c r="F54" s="4" t="s">
        <v>235</v>
      </c>
      <c r="G54" s="4" t="s">
        <v>236</v>
      </c>
      <c r="H54" s="3" t="s">
        <v>18</v>
      </c>
      <c r="I54" s="6"/>
      <c r="J54" s="4"/>
    </row>
    <row r="55" customFormat="false" ht="23.85" hidden="false" customHeight="false" outlineLevel="0" collapsed="false">
      <c r="A55" s="3" t="s">
        <v>237</v>
      </c>
      <c r="B55" s="4" t="s">
        <v>229</v>
      </c>
      <c r="C55" s="4" t="s">
        <v>238</v>
      </c>
      <c r="D55" s="8" t="s">
        <v>49</v>
      </c>
      <c r="E55" s="3" t="s">
        <v>31</v>
      </c>
      <c r="F55" s="4" t="s">
        <v>239</v>
      </c>
      <c r="G55" s="4" t="s">
        <v>240</v>
      </c>
      <c r="H55" s="3" t="s">
        <v>18</v>
      </c>
      <c r="I55" s="6"/>
      <c r="J55" s="4"/>
    </row>
    <row r="56" customFormat="false" ht="23.85" hidden="false" customHeight="false" outlineLevel="0" collapsed="false">
      <c r="A56" s="3" t="s">
        <v>241</v>
      </c>
      <c r="B56" s="4" t="s">
        <v>229</v>
      </c>
      <c r="C56" s="4" t="s">
        <v>242</v>
      </c>
      <c r="D56" s="8" t="s">
        <v>49</v>
      </c>
      <c r="E56" s="3" t="s">
        <v>31</v>
      </c>
      <c r="F56" s="4" t="s">
        <v>243</v>
      </c>
      <c r="G56" s="4" t="s">
        <v>244</v>
      </c>
      <c r="H56" s="3" t="s">
        <v>18</v>
      </c>
      <c r="I56" s="6"/>
      <c r="J56" s="4"/>
    </row>
    <row r="57" customFormat="false" ht="23.85" hidden="false" customHeight="false" outlineLevel="0" collapsed="false">
      <c r="A57" s="3" t="s">
        <v>245</v>
      </c>
      <c r="B57" s="4" t="s">
        <v>246</v>
      </c>
      <c r="C57" s="4" t="s">
        <v>247</v>
      </c>
      <c r="D57" s="5" t="s">
        <v>14</v>
      </c>
      <c r="E57" s="3" t="s">
        <v>15</v>
      </c>
      <c r="F57" s="4" t="s">
        <v>248</v>
      </c>
      <c r="G57" s="4" t="s">
        <v>249</v>
      </c>
      <c r="H57" s="3" t="s">
        <v>18</v>
      </c>
      <c r="I57" s="6"/>
      <c r="J57" s="4"/>
    </row>
    <row r="58" customFormat="false" ht="23.85" hidden="false" customHeight="false" outlineLevel="0" collapsed="false">
      <c r="A58" s="3" t="s">
        <v>250</v>
      </c>
      <c r="B58" s="4" t="s">
        <v>246</v>
      </c>
      <c r="C58" s="4" t="s">
        <v>251</v>
      </c>
      <c r="D58" s="8" t="s">
        <v>49</v>
      </c>
      <c r="E58" s="3" t="s">
        <v>15</v>
      </c>
      <c r="F58" s="4" t="s">
        <v>252</v>
      </c>
      <c r="G58" s="4" t="s">
        <v>253</v>
      </c>
      <c r="H58" s="3" t="s">
        <v>18</v>
      </c>
      <c r="I58" s="6"/>
      <c r="J58" s="4"/>
    </row>
    <row r="59" customFormat="false" ht="35.05" hidden="false" customHeight="false" outlineLevel="0" collapsed="false">
      <c r="A59" s="3" t="s">
        <v>254</v>
      </c>
      <c r="B59" s="4" t="s">
        <v>246</v>
      </c>
      <c r="C59" s="4" t="s">
        <v>255</v>
      </c>
      <c r="D59" s="5" t="s">
        <v>14</v>
      </c>
      <c r="E59" s="3" t="s">
        <v>22</v>
      </c>
      <c r="F59" s="4" t="s">
        <v>256</v>
      </c>
      <c r="G59" s="4" t="s">
        <v>257</v>
      </c>
      <c r="H59" s="3" t="s">
        <v>18</v>
      </c>
      <c r="I59" s="6"/>
      <c r="J59" s="4"/>
    </row>
    <row r="60" customFormat="false" ht="23.85" hidden="false" customHeight="false" outlineLevel="0" collapsed="false">
      <c r="A60" s="3" t="s">
        <v>258</v>
      </c>
      <c r="B60" s="4" t="s">
        <v>246</v>
      </c>
      <c r="C60" s="4" t="s">
        <v>259</v>
      </c>
      <c r="D60" s="8" t="s">
        <v>49</v>
      </c>
      <c r="E60" s="3" t="s">
        <v>15</v>
      </c>
      <c r="F60" s="4" t="s">
        <v>260</v>
      </c>
      <c r="G60" s="4" t="s">
        <v>261</v>
      </c>
      <c r="H60" s="3" t="s">
        <v>18</v>
      </c>
      <c r="I60" s="6"/>
      <c r="J60" s="4"/>
    </row>
    <row r="61" customFormat="false" ht="23.85" hidden="false" customHeight="false" outlineLevel="0" collapsed="false">
      <c r="A61" s="3" t="s">
        <v>262</v>
      </c>
      <c r="B61" s="4" t="s">
        <v>263</v>
      </c>
      <c r="C61" s="4" t="s">
        <v>264</v>
      </c>
      <c r="D61" s="5" t="s">
        <v>14</v>
      </c>
      <c r="E61" s="3" t="s">
        <v>22</v>
      </c>
      <c r="F61" s="4" t="s">
        <v>265</v>
      </c>
      <c r="G61" s="4" t="s">
        <v>266</v>
      </c>
      <c r="H61" s="3" t="s">
        <v>18</v>
      </c>
      <c r="I61" s="6"/>
      <c r="J61" s="4"/>
    </row>
    <row r="62" customFormat="false" ht="23.85" hidden="false" customHeight="false" outlineLevel="0" collapsed="false">
      <c r="A62" s="3" t="s">
        <v>267</v>
      </c>
      <c r="B62" s="4" t="s">
        <v>263</v>
      </c>
      <c r="C62" s="4" t="s">
        <v>268</v>
      </c>
      <c r="D62" s="7" t="s">
        <v>21</v>
      </c>
      <c r="E62" s="3" t="s">
        <v>15</v>
      </c>
      <c r="F62" s="4" t="s">
        <v>269</v>
      </c>
      <c r="G62" s="4" t="s">
        <v>270</v>
      </c>
      <c r="H62" s="3" t="s">
        <v>18</v>
      </c>
      <c r="I62" s="6"/>
      <c r="J62" s="4"/>
    </row>
    <row r="63" customFormat="false" ht="23.85" hidden="false" customHeight="false" outlineLevel="0" collapsed="false">
      <c r="A63" s="3" t="s">
        <v>271</v>
      </c>
      <c r="B63" s="4" t="s">
        <v>263</v>
      </c>
      <c r="C63" s="4" t="s">
        <v>272</v>
      </c>
      <c r="D63" s="7" t="s">
        <v>21</v>
      </c>
      <c r="E63" s="3" t="s">
        <v>22</v>
      </c>
      <c r="F63" s="4" t="s">
        <v>273</v>
      </c>
      <c r="G63" s="4" t="s">
        <v>274</v>
      </c>
      <c r="H63" s="3" t="s">
        <v>18</v>
      </c>
      <c r="I63" s="6"/>
      <c r="J63" s="4"/>
    </row>
    <row r="64" customFormat="false" ht="23.85" hidden="false" customHeight="false" outlineLevel="0" collapsed="false">
      <c r="A64" s="3" t="s">
        <v>275</v>
      </c>
      <c r="B64" s="4" t="s">
        <v>263</v>
      </c>
      <c r="C64" s="4" t="s">
        <v>276</v>
      </c>
      <c r="D64" s="5" t="s">
        <v>14</v>
      </c>
      <c r="E64" s="3" t="s">
        <v>15</v>
      </c>
      <c r="F64" s="4" t="s">
        <v>277</v>
      </c>
      <c r="G64" s="4" t="s">
        <v>278</v>
      </c>
      <c r="H64" s="3" t="s">
        <v>18</v>
      </c>
      <c r="I64" s="6"/>
      <c r="J64" s="4"/>
    </row>
    <row r="65" customFormat="false" ht="35.05" hidden="false" customHeight="false" outlineLevel="0" collapsed="false">
      <c r="A65" s="3" t="s">
        <v>279</v>
      </c>
      <c r="B65" s="4" t="s">
        <v>263</v>
      </c>
      <c r="C65" s="4" t="s">
        <v>280</v>
      </c>
      <c r="D65" s="5" t="s">
        <v>14</v>
      </c>
      <c r="E65" s="3" t="s">
        <v>15</v>
      </c>
      <c r="F65" s="4" t="s">
        <v>281</v>
      </c>
      <c r="G65" s="4" t="s">
        <v>282</v>
      </c>
      <c r="H65" s="3" t="s">
        <v>18</v>
      </c>
      <c r="I65" s="6"/>
      <c r="J65" s="4"/>
    </row>
    <row r="66" customFormat="false" ht="23.85" hidden="false" customHeight="false" outlineLevel="0" collapsed="false">
      <c r="A66" s="3" t="s">
        <v>283</v>
      </c>
      <c r="B66" s="4" t="s">
        <v>263</v>
      </c>
      <c r="C66" s="4" t="s">
        <v>284</v>
      </c>
      <c r="D66" s="5" t="s">
        <v>14</v>
      </c>
      <c r="E66" s="3" t="s">
        <v>22</v>
      </c>
      <c r="F66" s="4" t="s">
        <v>285</v>
      </c>
      <c r="G66" s="4" t="s">
        <v>286</v>
      </c>
      <c r="H66" s="3" t="s">
        <v>18</v>
      </c>
      <c r="I66" s="6"/>
      <c r="J66" s="4"/>
    </row>
    <row r="67" customFormat="false" ht="23.85" hidden="false" customHeight="false" outlineLevel="0" collapsed="false">
      <c r="A67" s="3" t="s">
        <v>287</v>
      </c>
      <c r="B67" s="4" t="s">
        <v>263</v>
      </c>
      <c r="C67" s="4" t="s">
        <v>288</v>
      </c>
      <c r="D67" s="8" t="s">
        <v>49</v>
      </c>
      <c r="E67" s="3" t="s">
        <v>15</v>
      </c>
      <c r="F67" s="4" t="s">
        <v>289</v>
      </c>
      <c r="G67" s="4" t="s">
        <v>290</v>
      </c>
      <c r="H67" s="3" t="s">
        <v>18</v>
      </c>
      <c r="I67" s="6"/>
      <c r="J67" s="4"/>
    </row>
  </sheetData>
  <autoFilter ref="A2:J67"/>
  <mergeCells count="1">
    <mergeCell ref="A1:J1"/>
  </mergeCells>
  <conditionalFormatting sqref="H3:H67">
    <cfRule type="cellIs" priority="2" operator="equal" aboveAverage="0" equalAverage="0" bottom="0" percent="0" rank="0" text="" dxfId="9">
      <formula>"Verified"</formula>
    </cfRule>
    <cfRule type="cellIs" priority="3" operator="equal" aboveAverage="0" equalAverage="0" bottom="0" percent="0" rank="0" text="" dxfId="10">
      <formula>"Implemented"</formula>
    </cfRule>
    <cfRule type="cellIs" priority="4" operator="equal" aboveAverage="0" equalAverage="0" bottom="0" percent="0" rank="0" text="" dxfId="11">
      <formula>"In Progress"</formula>
    </cfRule>
    <cfRule type="cellIs" priority="5" operator="equal" aboveAverage="0" equalAverage="0" bottom="0" percent="0" rank="0" text="" dxfId="12">
      <formula>"Not Started"</formula>
    </cfRule>
    <cfRule type="cellIs" priority="6" operator="equal" aboveAverage="0" equalAverage="0" bottom="0" percent="0" rank="0" text="" dxfId="13">
      <formula>"N/A"</formula>
    </cfRule>
  </conditionalFormatting>
  <dataValidations count="1">
    <dataValidation allowBlank="true" errorStyle="stop" operator="between" showDropDown="false" showErrorMessage="false" showInputMessage="false" sqref="H3:H67" type="list">
      <formula1>"Not Started,In Progress,Implemented,Verified,N/A"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2"/>
    <col collapsed="false" customWidth="true" hidden="false" outlineLevel="0" max="4" min="4" style="0" width="40"/>
  </cols>
  <sheetData>
    <row r="1" customFormat="false" ht="25.5" hidden="false" customHeight="true" outlineLevel="0" collapsed="false">
      <c r="A1" s="1" t="s">
        <v>291</v>
      </c>
      <c r="B1" s="1"/>
      <c r="C1" s="1"/>
      <c r="D1" s="1"/>
    </row>
    <row r="3" customFormat="false" ht="15" hidden="false" customHeight="false" outlineLevel="0" collapsed="false">
      <c r="A3" s="9" t="s">
        <v>292</v>
      </c>
      <c r="B3" s="10" t="s">
        <v>293</v>
      </c>
      <c r="C3" s="11" t="s">
        <v>294</v>
      </c>
    </row>
    <row r="4" customFormat="false" ht="15" hidden="false" customHeight="false" outlineLevel="0" collapsed="false">
      <c r="A4" s="12" t="s">
        <v>21</v>
      </c>
      <c r="B4" s="13" t="n">
        <f aca="false">COUNTIF(Checklist!D3:D67,"Critical")</f>
        <v>6</v>
      </c>
      <c r="C4" s="14" t="n">
        <f aca="false">B4/$B$7</f>
        <v>0.0923076923076923</v>
      </c>
    </row>
    <row r="5" customFormat="false" ht="15" hidden="false" customHeight="false" outlineLevel="0" collapsed="false">
      <c r="A5" s="12" t="s">
        <v>14</v>
      </c>
      <c r="B5" s="15" t="n">
        <f aca="false">COUNTIF(Checklist!D3:D67,"High")</f>
        <v>41</v>
      </c>
      <c r="C5" s="14" t="n">
        <f aca="false">B5/$B$7</f>
        <v>0.630769230769231</v>
      </c>
    </row>
    <row r="6" customFormat="false" ht="15" hidden="false" customHeight="false" outlineLevel="0" collapsed="false">
      <c r="A6" s="12" t="s">
        <v>49</v>
      </c>
      <c r="B6" s="16" t="n">
        <f aca="false">COUNTIF(Checklist!D3:D67,"Medium")</f>
        <v>18</v>
      </c>
      <c r="C6" s="14" t="n">
        <f aca="false">B6/$B$7</f>
        <v>0.276923076923077</v>
      </c>
    </row>
    <row r="7" customFormat="false" ht="15" hidden="false" customHeight="false" outlineLevel="0" collapsed="false">
      <c r="A7" s="12" t="s">
        <v>295</v>
      </c>
      <c r="B7" s="17" t="n">
        <f aca="false">COUNTA(Checklist!A3:A67)</f>
        <v>65</v>
      </c>
      <c r="C7" s="18"/>
    </row>
    <row r="9" customFormat="false" ht="15" hidden="false" customHeight="false" outlineLevel="0" collapsed="false">
      <c r="A9" s="9" t="s">
        <v>296</v>
      </c>
      <c r="B9" s="10" t="s">
        <v>293</v>
      </c>
      <c r="C9" s="11" t="s">
        <v>294</v>
      </c>
    </row>
    <row r="10" customFormat="false" ht="15" hidden="false" customHeight="false" outlineLevel="0" collapsed="false">
      <c r="A10" s="12" t="s">
        <v>18</v>
      </c>
      <c r="B10" s="19" t="n">
        <f aca="false">COUNTIF(Checklist!H3:H67,"Not Started")</f>
        <v>65</v>
      </c>
      <c r="C10" s="14" t="n">
        <f aca="false">B10/$B$7</f>
        <v>1</v>
      </c>
    </row>
    <row r="11" customFormat="false" ht="15" hidden="false" customHeight="false" outlineLevel="0" collapsed="false">
      <c r="A11" s="12" t="s">
        <v>297</v>
      </c>
      <c r="B11" s="20" t="n">
        <f aca="false">COUNTIF(Checklist!H3:H67,"In Progress")</f>
        <v>0</v>
      </c>
      <c r="C11" s="14" t="n">
        <f aca="false">B11/$B$7</f>
        <v>0</v>
      </c>
    </row>
    <row r="12" customFormat="false" ht="15" hidden="false" customHeight="false" outlineLevel="0" collapsed="false">
      <c r="A12" s="12" t="s">
        <v>298</v>
      </c>
      <c r="B12" s="21" t="n">
        <f aca="false">COUNTIF(Checklist!H3:H67,"Implemented")</f>
        <v>0</v>
      </c>
      <c r="C12" s="14" t="n">
        <f aca="false">B12/$B$7</f>
        <v>0</v>
      </c>
    </row>
    <row r="13" customFormat="false" ht="15" hidden="false" customHeight="false" outlineLevel="0" collapsed="false">
      <c r="A13" s="12" t="s">
        <v>299</v>
      </c>
      <c r="B13" s="22" t="n">
        <f aca="false">COUNTIF(Checklist!H3:H67,"Verified")</f>
        <v>0</v>
      </c>
      <c r="C13" s="14" t="n">
        <f aca="false">B13/$B$7</f>
        <v>0</v>
      </c>
    </row>
    <row r="14" customFormat="false" ht="15" hidden="false" customHeight="false" outlineLevel="0" collapsed="false">
      <c r="A14" s="12" t="s">
        <v>300</v>
      </c>
      <c r="B14" s="23" t="n">
        <f aca="false">COUNTIF(Checklist!H3:H67,"N/A")</f>
        <v>0</v>
      </c>
      <c r="C14" s="14" t="n">
        <f aca="false">B14/$B$7</f>
        <v>0</v>
      </c>
    </row>
    <row r="15" customFormat="false" ht="15" hidden="false" customHeight="false" outlineLevel="0" collapsed="false">
      <c r="A15" s="12" t="s">
        <v>301</v>
      </c>
      <c r="B15" s="24" t="n">
        <f aca="false">(B12+B13)/B7</f>
        <v>0</v>
      </c>
    </row>
    <row r="17" customFormat="false" ht="15" hidden="false" customHeight="false" outlineLevel="0" collapsed="false">
      <c r="A17" s="9" t="s">
        <v>302</v>
      </c>
      <c r="B17" s="10" t="s">
        <v>293</v>
      </c>
    </row>
    <row r="18" customFormat="false" ht="22.35" hidden="false" customHeight="false" outlineLevel="0" collapsed="false">
      <c r="A18" s="25" t="s">
        <v>303</v>
      </c>
      <c r="B18" s="26" t="n">
        <f aca="false">COUNTIF(Checklist!A3:A67,"1.*")</f>
        <v>4</v>
      </c>
    </row>
    <row r="19" customFormat="false" ht="15" hidden="false" customHeight="false" outlineLevel="0" collapsed="false">
      <c r="A19" s="25" t="s">
        <v>304</v>
      </c>
      <c r="B19" s="26" t="n">
        <f aca="false">COUNTIF(Checklist!A3:A67,"2.*")</f>
        <v>5</v>
      </c>
    </row>
    <row r="20" customFormat="false" ht="22.35" hidden="false" customHeight="false" outlineLevel="0" collapsed="false">
      <c r="A20" s="25" t="s">
        <v>305</v>
      </c>
      <c r="B20" s="26" t="n">
        <f aca="false">COUNTIF(Checklist!A3:A67,"3.*")</f>
        <v>7</v>
      </c>
    </row>
    <row r="21" customFormat="false" ht="22.35" hidden="false" customHeight="false" outlineLevel="0" collapsed="false">
      <c r="A21" s="25" t="s">
        <v>306</v>
      </c>
      <c r="B21" s="26" t="n">
        <f aca="false">COUNTIF(Checklist!A3:A67,"4.*")</f>
        <v>4</v>
      </c>
    </row>
    <row r="22" customFormat="false" ht="15" hidden="false" customHeight="false" outlineLevel="0" collapsed="false">
      <c r="A22" s="25" t="s">
        <v>307</v>
      </c>
      <c r="B22" s="26" t="n">
        <f aca="false">COUNTIF(Checklist!A3:A67,"5.*")</f>
        <v>4</v>
      </c>
    </row>
    <row r="23" customFormat="false" ht="15" hidden="false" customHeight="false" outlineLevel="0" collapsed="false">
      <c r="A23" s="25" t="s">
        <v>308</v>
      </c>
      <c r="B23" s="26" t="n">
        <f aca="false">COUNTIF(Checklist!A3:A67,"6.*")</f>
        <v>4</v>
      </c>
    </row>
    <row r="24" customFormat="false" ht="15" hidden="false" customHeight="false" outlineLevel="0" collapsed="false">
      <c r="A24" s="25" t="s">
        <v>309</v>
      </c>
      <c r="B24" s="26" t="n">
        <f aca="false">COUNTIF(Checklist!A3:A67,"7.*")</f>
        <v>4</v>
      </c>
    </row>
    <row r="25" customFormat="false" ht="15" hidden="false" customHeight="false" outlineLevel="0" collapsed="false">
      <c r="A25" s="25" t="s">
        <v>310</v>
      </c>
      <c r="B25" s="26" t="n">
        <f aca="false">COUNTIF(Checklist!A3:A67,"8.*")</f>
        <v>10</v>
      </c>
    </row>
    <row r="26" customFormat="false" ht="15" hidden="false" customHeight="false" outlineLevel="0" collapsed="false">
      <c r="A26" s="25" t="s">
        <v>311</v>
      </c>
      <c r="B26" s="26" t="n">
        <f aca="false">COUNTIF(Checklist!A3:A67,"9.*")</f>
        <v>4</v>
      </c>
    </row>
    <row r="27" customFormat="false" ht="15" hidden="false" customHeight="false" outlineLevel="0" collapsed="false">
      <c r="A27" s="25" t="s">
        <v>312</v>
      </c>
      <c r="B27" s="26" t="n">
        <f aca="false">COUNTIF(Checklist!A3:A67,"10.*")</f>
        <v>4</v>
      </c>
    </row>
    <row r="28" customFormat="false" ht="15" hidden="false" customHeight="false" outlineLevel="0" collapsed="false">
      <c r="A28" s="25" t="s">
        <v>313</v>
      </c>
      <c r="B28" s="26" t="n">
        <f aca="false">COUNTIF(Checklist!A3:A67,"11.*")</f>
        <v>4</v>
      </c>
    </row>
    <row r="29" customFormat="false" ht="22.35" hidden="false" customHeight="false" outlineLevel="0" collapsed="false">
      <c r="A29" s="25" t="s">
        <v>314</v>
      </c>
      <c r="B29" s="26" t="n">
        <f aca="false">COUNTIF(Checklist!A3:A67,"12.*")</f>
        <v>4</v>
      </c>
    </row>
    <row r="30" customFormat="false" ht="22.35" hidden="false" customHeight="false" outlineLevel="0" collapsed="false">
      <c r="A30" s="25" t="s">
        <v>315</v>
      </c>
      <c r="B30" s="26" t="n">
        <f aca="false">COUNTIF(Checklist!A3:A67,"13.*")</f>
        <v>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2026-06-15T13:25:15Z</dcterms:created>
  <dc:creator>openpyxl</dc:creator>
  <dc:description/>
  <dc:language>en-US</dc:language>
  <cp:lastModifiedBy/>
  <dcterms:modified xsi:type="dcterms:W3CDTF">2026-06-15T13:25:15Z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