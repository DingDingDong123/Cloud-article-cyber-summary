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וראות שימוש" sheetId="1" state="visible" r:id="rId3"/>
    <sheet name="שאלון CAIQ" sheetId="2" state="visible" r:id="rId4"/>
    <sheet name="ציון לפי דומיין" sheetId="3" state="visible" r:id="rId5"/>
    <sheet name="ציון כול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<sst xmlns="http://schemas.openxmlformats.org/spreadsheetml/2006/main" count="543" uniqueCount="371">
  <si>
    <t xml:space="preserve">מחשבון ציון CAIQ לספקי SaaS</t>
  </si>
  <si>
    <t xml:space="preserve">Cloud Security Alliance · Cloud Controls Matrix v4 · 17 דומיינים</t>
  </si>
  <si>
    <t xml:space="preserve">📋 מהו הכלי הזה?</t>
  </si>
  <si>
    <t xml:space="preserve">כלי זה מאפשר לכם לחשב ציון סיכון מובנה לספק SaaS על בסיס שאלון CAIQ (Consensus Assessments Initiative Questionnaire) של ה-Cloud Security Alliance.</t>
  </si>
  <si>
    <t xml:space="preserve">📄 גיליונות בחוברת:</t>
  </si>
  <si>
    <t xml:space="preserve">שאלון CAIQ</t>
  </si>
  <si>
    <t xml:space="preserve">הזינו תשובות כן/לא/לא רלוונטי לכל 261 השאלות. לחצו על הרשימה הנגללת בכל תא.</t>
  </si>
  <si>
    <t xml:space="preserve">ציון לפי דומיין</t>
  </si>
  <si>
    <t xml:space="preserve">סיכום אוטומטי של הציון לכל אחד מ-17 הדומיינים עם משקלות.</t>
  </si>
  <si>
    <t xml:space="preserve">ציון כולל</t>
  </si>
  <si>
    <t xml:space="preserve">לוח מחוונים מסכם עם דירוג הסיכון הסופי והמלצות.</t>
  </si>
  <si>
    <t xml:space="preserve">⚙️ הוראות:</t>
  </si>
  <si>
    <t xml:space="preserve">שלב 1</t>
  </si>
  <si>
    <t xml:space="preserve">עברו לגיליון 'שאלון CAIQ' והזינו תשובות לכל שאלה.</t>
  </si>
  <si>
    <t xml:space="preserve">שלב 2</t>
  </si>
  <si>
    <t xml:space="preserve">ניתן לשנות משקלות ב'ציון לפי דומיין' בעמודת המשקל.</t>
  </si>
  <si>
    <t xml:space="preserve">שלב 3</t>
  </si>
  <si>
    <t xml:space="preserve">הציון הכולל מחושב אוטומטית — ראו 'ציון כולל'.</t>
  </si>
  <si>
    <t xml:space="preserve">🔴 בקרות חסמות:</t>
  </si>
  <si>
    <t xml:space="preserve">בקרות מסוימות הן חסמות — תשובה 'לא' גוררת סימון אדום. בדקו את עמודת 'חסמת' בשאלון.</t>
  </si>
  <si>
    <t xml:space="preserve">🟢 דירוג סיכון:</t>
  </si>
  <si>
    <t xml:space="preserve">85–100%</t>
  </si>
  <si>
    <t xml:space="preserve">🟢 סיכון נמוך — אישור מלא</t>
  </si>
  <si>
    <t xml:space="preserve">70–84%</t>
  </si>
  <si>
    <t xml:space="preserve">🟡 סיכון בינוני — אישור עם מעקב</t>
  </si>
  <si>
    <t xml:space="preserve">50–69%</t>
  </si>
  <si>
    <t xml:space="preserve">🟠 סיכון גבוה — דרוש שיפור</t>
  </si>
  <si>
    <t xml:space="preserve">מתחת ל-50%</t>
  </si>
  <si>
    <t xml:space="preserve">🔴 סיכון קריטי — לא מאושר</t>
  </si>
  <si>
    <t xml:space="preserve">מזהה בקרה</t>
  </si>
  <si>
    <t xml:space="preserve">שאלת CAIQ</t>
  </si>
  <si>
    <t xml:space="preserve">דומיין</t>
  </si>
  <si>
    <t xml:space="preserve">חסמת?</t>
  </si>
  <si>
    <t xml:space="preserve">תשובה
(כן/לא/לא רלוונטי)</t>
  </si>
  <si>
    <t xml:space="preserve">הערות</t>
  </si>
  <si>
    <t xml:space="preserve">📁 Application &amp; Interface Security</t>
  </si>
  <si>
    <t xml:space="preserve">AIS-01.1</t>
  </si>
  <si>
    <t xml:space="preserve">האם ישנה מדיניות אפליקציות ותוכנה מוגדרת?</t>
  </si>
  <si>
    <t xml:space="preserve">Application &amp; Interface Security</t>
  </si>
  <si>
    <t xml:space="preserve">AIS-01.2</t>
  </si>
  <si>
    <t xml:space="preserve">האם המדיניות מתועדת ומיושמת?</t>
  </si>
  <si>
    <t xml:space="preserve">AIS-02.1</t>
  </si>
  <si>
    <t xml:space="preserve">האם נעשה שימוש בגישת Security by Design?</t>
  </si>
  <si>
    <t xml:space="preserve">✓</t>
  </si>
  <si>
    <t xml:space="preserve">AIS-02.2</t>
  </si>
  <si>
    <t xml:space="preserve">האם קיים תהליך בדיקת אבטחה לפני השקת תכונות?</t>
  </si>
  <si>
    <t xml:space="preserve">AIS-03.1</t>
  </si>
  <si>
    <t xml:space="preserve">האם קיים תהליך Secure SDLC?</t>
  </si>
  <si>
    <t xml:space="preserve">AIS-04.1</t>
  </si>
  <si>
    <t xml:space="preserve">האם מתבצעות בדיקות אבטחה אוטומטיות (SAST/DAST)?</t>
  </si>
  <si>
    <t xml:space="preserve">AIS-04.2</t>
  </si>
  <si>
    <t xml:space="preserve">האם קיים תהליך Code Review לאבטחה?</t>
  </si>
  <si>
    <t xml:space="preserve">AIS-05.1</t>
  </si>
  <si>
    <t xml:space="preserve">האם ישנה בדיקת תלויות ורכיבי צד שלישי (SCA)?</t>
  </si>
  <si>
    <t xml:space="preserve">AIS-06.1</t>
  </si>
  <si>
    <t xml:space="preserve">האם קיים API Gateway עם הגבלות גישה?</t>
  </si>
  <si>
    <t xml:space="preserve">AIS-06.2</t>
  </si>
  <si>
    <t xml:space="preserve">האם ממשקי API מוגנים מפני שימוש לרעה?</t>
  </si>
  <si>
    <t xml:space="preserve">📁 Business Continuity &amp; Resilience</t>
  </si>
  <si>
    <t xml:space="preserve">BCR-01.1</t>
  </si>
  <si>
    <t xml:space="preserve">האם קיים תוכנית המשכיות עסקית (BCP)?</t>
  </si>
  <si>
    <t xml:space="preserve">Business Continuity &amp; Resilience</t>
  </si>
  <si>
    <t xml:space="preserve">BCR-01.2</t>
  </si>
  <si>
    <t xml:space="preserve">האם התוכנית נבדקה ב-12 החודשים האחרונים?</t>
  </si>
  <si>
    <t xml:space="preserve">BCR-02.1</t>
  </si>
  <si>
    <t xml:space="preserve">האם קיים תוכנית התאוששות מאסון (DRP)?</t>
  </si>
  <si>
    <t xml:space="preserve">BCR-02.2</t>
  </si>
  <si>
    <t xml:space="preserve">האם ה-DRP נבדק ב-12 החודשים האחרונים?</t>
  </si>
  <si>
    <t xml:space="preserve">BCR-03.1</t>
  </si>
  <si>
    <t xml:space="preserve">האם RTO מוגדר וידוע?</t>
  </si>
  <si>
    <t xml:space="preserve">BCR-03.2</t>
  </si>
  <si>
    <t xml:space="preserve">האם RPO מוגדר וידוע?</t>
  </si>
  <si>
    <t xml:space="preserve">BCR-04.1</t>
  </si>
  <si>
    <t xml:space="preserve">האם גיבויים מתבצעים לפחות יומיים?</t>
  </si>
  <si>
    <t xml:space="preserve">BCR-04.2</t>
  </si>
  <si>
    <t xml:space="preserve">האם גיבויים נשמרים באתר גיאוגרפי שני?</t>
  </si>
  <si>
    <t xml:space="preserve">BCR-05.1</t>
  </si>
  <si>
    <t xml:space="preserve">האם קיימת יתירות (Redundancy) לתשתית?</t>
  </si>
  <si>
    <t xml:space="preserve">BCR-05.2</t>
  </si>
  <si>
    <t xml:space="preserve">האם תשתיות קריטיות כפולות?</t>
  </si>
  <si>
    <t xml:space="preserve">BCR-06.1</t>
  </si>
  <si>
    <t xml:space="preserve">האם SLA זמינות הוא 99.9% או יותר?</t>
  </si>
  <si>
    <t xml:space="preserve">BCR-11.1</t>
  </si>
  <si>
    <t xml:space="preserve">האם מתבצעות תרגילי Failover תקופתיים?</t>
  </si>
  <si>
    <t xml:space="preserve">📁 Change Control &amp; Configuration</t>
  </si>
  <si>
    <t xml:space="preserve">CCC-01.1</t>
  </si>
  <si>
    <t xml:space="preserve">האם קיים תהליך ניהול שינויים?</t>
  </si>
  <si>
    <t xml:space="preserve">Change Control &amp; Configuration</t>
  </si>
  <si>
    <t xml:space="preserve">CCC-02.1</t>
  </si>
  <si>
    <t xml:space="preserve">האם כל שינוי מאושר לפני יישום?</t>
  </si>
  <si>
    <t xml:space="preserve">CCC-03.1</t>
  </si>
  <si>
    <t xml:space="preserve">האם קיים CI/CD Pipeline?</t>
  </si>
  <si>
    <t xml:space="preserve">CCC-04.1</t>
  </si>
  <si>
    <t xml:space="preserve">האם קיים ניהול תצורה (Configuration Management)?</t>
  </si>
  <si>
    <t xml:space="preserve">CCC-05.1</t>
  </si>
  <si>
    <t xml:space="preserve">האם שינויים במוצר נבדקים בסביבת TEST לפני PROD?</t>
  </si>
  <si>
    <t xml:space="preserve">CCC-06.1</t>
  </si>
  <si>
    <t xml:space="preserve">האם קיים Rollback לשינויים כושלים?</t>
  </si>
  <si>
    <t xml:space="preserve">CCC-07.1</t>
  </si>
  <si>
    <t xml:space="preserve">האם שינויים מתועדים ומוצגים ללקוחות?</t>
  </si>
  <si>
    <t xml:space="preserve">📁 Cryptography &amp; Key Management</t>
  </si>
  <si>
    <t xml:space="preserve">CEK-01.1</t>
  </si>
  <si>
    <t xml:space="preserve">האם קיימת מדיניות הצפנה מתועדת?</t>
  </si>
  <si>
    <t xml:space="preserve">Cryptography &amp; Key Management</t>
  </si>
  <si>
    <t xml:space="preserve">CEK-02.1</t>
  </si>
  <si>
    <t xml:space="preserve">האם נתונים מוצפנים במנוחה (at rest)?</t>
  </si>
  <si>
    <t xml:space="preserve">CEK-02.2</t>
  </si>
  <si>
    <t xml:space="preserve">האם אלגוריתם ההצפנה הוא AES-256 או שווה?</t>
  </si>
  <si>
    <t xml:space="preserve">CEK-03.1</t>
  </si>
  <si>
    <t xml:space="preserve">האם נתונים מוצפנים במעבר (in transit) עם TLS 1.2+?</t>
  </si>
  <si>
    <t xml:space="preserve">CEK-04.1</t>
  </si>
  <si>
    <t xml:space="preserve">האם קיים ניהול מפתחות הצפנה (KMS)?</t>
  </si>
  <si>
    <t xml:space="preserve">CEK-04.2</t>
  </si>
  <si>
    <t xml:space="preserve">האם מפתחות מוחלפים תקופתית?</t>
  </si>
  <si>
    <t xml:space="preserve">CEK-05.1</t>
  </si>
  <si>
    <t xml:space="preserve">האם ללקוחות אפשרות לנהל מפתחות משלהם?</t>
  </si>
  <si>
    <t xml:space="preserve">CEK-06.1</t>
  </si>
  <si>
    <t xml:space="preserve">האם קיים HSM לשמירת מפתחות?</t>
  </si>
  <si>
    <t xml:space="preserve">📁 Datacenter Security</t>
  </si>
  <si>
    <t xml:space="preserve">DCS-01.1</t>
  </si>
  <si>
    <t xml:space="preserve">האם מרכזי הנתונים מאובטחים פיזית?</t>
  </si>
  <si>
    <t xml:space="preserve">Datacenter Security</t>
  </si>
  <si>
    <t xml:space="preserve">DCS-02.1</t>
  </si>
  <si>
    <t xml:space="preserve">האם קיים בקרת גישה ביומטרית למרכז נתונים?</t>
  </si>
  <si>
    <t xml:space="preserve">DCS-03.1</t>
  </si>
  <si>
    <t xml:space="preserve">האם מרכזי הנתונים עומדים בתקני ISO 27001 או SOC2?</t>
  </si>
  <si>
    <t xml:space="preserve">DCS-04.1</t>
  </si>
  <si>
    <t xml:space="preserve">האם קיים ניטור וידאו (CCTV) במרכז נתונים?</t>
  </si>
  <si>
    <t xml:space="preserve">DCS-05.1</t>
  </si>
  <si>
    <t xml:space="preserve">האם קיים UPS ומערכת גיבוי חשמל?</t>
  </si>
  <si>
    <t xml:space="preserve">DCS-06.1</t>
  </si>
  <si>
    <t xml:space="preserve">האם מיקום מרכז נתונים גאוגרפי מגוון?</t>
  </si>
  <si>
    <t xml:space="preserve">📁 Data Security &amp; Privacy</t>
  </si>
  <si>
    <t xml:space="preserve">DSP-01.1</t>
  </si>
  <si>
    <t xml:space="preserve">האם קיימת מדיניות פרטיות מפורסמת?</t>
  </si>
  <si>
    <t xml:space="preserve">Data Security &amp; Privacy</t>
  </si>
  <si>
    <t xml:space="preserve">DSP-02.1</t>
  </si>
  <si>
    <t xml:space="preserve">האם נתוני לקוחות מסווגים לפי רגישות?</t>
  </si>
  <si>
    <t xml:space="preserve">DSP-03.1</t>
  </si>
  <si>
    <t xml:space="preserve">האם קיים תהליך מחיקת נתונים בבקשת לקוח?</t>
  </si>
  <si>
    <t xml:space="preserve">DSP-04.1</t>
  </si>
  <si>
    <t xml:space="preserve">האם נתוני לקוחות מבודדים (Multi-Tenancy Isolation)?</t>
  </si>
  <si>
    <t xml:space="preserve">DSP-05.1</t>
  </si>
  <si>
    <t xml:space="preserve">האם קיים Data Retention Policy מתועד?</t>
  </si>
  <si>
    <t xml:space="preserve">DSP-06.1</t>
  </si>
  <si>
    <t xml:space="preserve">האם עובדי הספק ניגשים לנתוני לקוחות רק לפי צורך?</t>
  </si>
  <si>
    <t xml:space="preserve">DSP-07.1</t>
  </si>
  <si>
    <t xml:space="preserve">האם הספק עומד ב-GDPR (אם רלוונטי)?</t>
  </si>
  <si>
    <t xml:space="preserve">DSP-07.2</t>
  </si>
  <si>
    <t xml:space="preserve">האם הספק עומד ב-CCPA (אם רלוונטי)?</t>
  </si>
  <si>
    <t xml:space="preserve">DSP-08.1</t>
  </si>
  <si>
    <t xml:space="preserve">האם קיים DPA (Data Processing Agreement)?</t>
  </si>
  <si>
    <t xml:space="preserve">DSP-09.1</t>
  </si>
  <si>
    <t xml:space="preserve">האם קיים תהליך Export נתונים ללקוח?</t>
  </si>
  <si>
    <t xml:space="preserve">DSP-10.1</t>
  </si>
  <si>
    <t xml:space="preserve">האם ניתן לעיין בנתונים ולתקנם (Right to Access)?</t>
  </si>
  <si>
    <t xml:space="preserve">DSP-17.1</t>
  </si>
  <si>
    <t xml:space="preserve">האם נתונים אינם משותפים עם צדדים שלישיים ללא אישור?</t>
  </si>
  <si>
    <t xml:space="preserve">📁 Governance, Risk &amp; Compliance</t>
  </si>
  <si>
    <t xml:space="preserve">GRC-01.1</t>
  </si>
  <si>
    <t xml:space="preserve">האם קיים CISO או תפקיד אבטחה בכיר?</t>
  </si>
  <si>
    <t xml:space="preserve">Governance, Risk &amp; Compliance</t>
  </si>
  <si>
    <t xml:space="preserve">GRC-02.1</t>
  </si>
  <si>
    <t xml:space="preserve">האם ישנה מדיניות אבטחת מידע מאושרת על ידי הנהלה?</t>
  </si>
  <si>
    <t xml:space="preserve">GRC-03.1</t>
  </si>
  <si>
    <t xml:space="preserve">האם מתבצעות הערכות סיכון תקופתיות?</t>
  </si>
  <si>
    <t xml:space="preserve">GRC-04.1</t>
  </si>
  <si>
    <t xml:space="preserve">האם קיים תהליך ניהול ציות (Compliance)?</t>
  </si>
  <si>
    <t xml:space="preserve">GRC-05.1</t>
  </si>
  <si>
    <t xml:space="preserve">האם קיים ועדת אבטחה פנימית?</t>
  </si>
  <si>
    <t xml:space="preserve">GRC-06.1</t>
  </si>
  <si>
    <t xml:space="preserve">האם מסמכי המדיניות מתעדכנים לפחות אחת לשנה?</t>
  </si>
  <si>
    <t xml:space="preserve">📁 Human Resources</t>
  </si>
  <si>
    <t xml:space="preserve">HRS-01.1</t>
  </si>
  <si>
    <t xml:space="preserve">האם מתבצעות בדיקות רקע לעובדים?</t>
  </si>
  <si>
    <t xml:space="preserve">Human Resources</t>
  </si>
  <si>
    <t xml:space="preserve">HRS-02.1</t>
  </si>
  <si>
    <t xml:space="preserve">האם עובדים מקבלים הדרכת אבטחה בקבלה לעבודה?</t>
  </si>
  <si>
    <t xml:space="preserve">HRS-03.1</t>
  </si>
  <si>
    <t xml:space="preserve">האם מתקיימות הדרכות אבטחה שנתיות?</t>
  </si>
  <si>
    <t xml:space="preserve">HRS-04.1</t>
  </si>
  <si>
    <t xml:space="preserve">האם קיים תהליך Offboarding מסודר?</t>
  </si>
  <si>
    <t xml:space="preserve">HRS-05.1</t>
  </si>
  <si>
    <t xml:space="preserve">האם הרשאות נשללות מיידית עם עזיבת עובד?</t>
  </si>
  <si>
    <t xml:space="preserve">HRS-06.1</t>
  </si>
  <si>
    <t xml:space="preserve">האם עובדים חתמו על NDA?</t>
  </si>
  <si>
    <t xml:space="preserve">📁 Identity &amp; Access Management</t>
  </si>
  <si>
    <t xml:space="preserve">IAM-01.1</t>
  </si>
  <si>
    <t xml:space="preserve">האם קיימת מדיניות IAM מתועדת?</t>
  </si>
  <si>
    <t xml:space="preserve">Identity &amp; Access Management</t>
  </si>
  <si>
    <t xml:space="preserve">IAM-02.1</t>
  </si>
  <si>
    <t xml:space="preserve">האם נעשה שימוש ב-MFA לגישה מנהלתית?</t>
  </si>
  <si>
    <t xml:space="preserve">IAM-02.2</t>
  </si>
  <si>
    <t xml:space="preserve">האם MFA נדרש לכל המשתמשים?</t>
  </si>
  <si>
    <t xml:space="preserve">IAM-03.1</t>
  </si>
  <si>
    <t xml:space="preserve">האם עקרון הרשאות מינימום (Least Privilege) מיושם?</t>
  </si>
  <si>
    <t xml:space="preserve">IAM-04.1</t>
  </si>
  <si>
    <t xml:space="preserve">האם קיים סקירת הרשאות תקופתית (Access Review)?</t>
  </si>
  <si>
    <t xml:space="preserve">IAM-05.1</t>
  </si>
  <si>
    <t xml:space="preserve">האם קיים Single Sign-On (SSO)?</t>
  </si>
  <si>
    <t xml:space="preserve">IAM-06.1</t>
  </si>
  <si>
    <t xml:space="preserve">האם חשבונות שאינם בשימוש מושבתים אוטומטית?</t>
  </si>
  <si>
    <t xml:space="preserve">IAM-07.1</t>
  </si>
  <si>
    <t xml:space="preserve">האם קיים ניטור גישה חריגה?</t>
  </si>
  <si>
    <t xml:space="preserve">IAM-08.1</t>
  </si>
  <si>
    <t xml:space="preserve">האם קיים Privileged Access Management (PAM)?</t>
  </si>
  <si>
    <t xml:space="preserve">IAM-09.1</t>
  </si>
  <si>
    <t xml:space="preserve">האם מדיניות סיסמאות עומדת בתקנים (12+ תווים)?</t>
  </si>
  <si>
    <t xml:space="preserve">IAM-10.1</t>
  </si>
  <si>
    <t xml:space="preserve">האם גישה מרחוק מוגנת ב-VPN?</t>
  </si>
  <si>
    <t xml:space="preserve">IAM-13.1</t>
  </si>
  <si>
    <t xml:space="preserve">האם קיים RBAC (Role-Based Access Control)?</t>
  </si>
  <si>
    <t xml:space="preserve">📁 Interoperability &amp; Portability</t>
  </si>
  <si>
    <t xml:space="preserve">IPY-01.1</t>
  </si>
  <si>
    <t xml:space="preserve">האם קיימת תיעוד API לייצוא נתונים?</t>
  </si>
  <si>
    <t xml:space="preserve">Interoperability &amp; Portability</t>
  </si>
  <si>
    <t xml:space="preserve">IPY-02.1</t>
  </si>
  <si>
    <t xml:space="preserve">האם נתונים ניתנים לייצוא בפורמטים סטנדרטיים?</t>
  </si>
  <si>
    <t xml:space="preserve">IPY-03.1</t>
  </si>
  <si>
    <t xml:space="preserve">האם קיים תהליך Migration מהשירות?</t>
  </si>
  <si>
    <t xml:space="preserve">IPY-04.1</t>
  </si>
  <si>
    <t xml:space="preserve">האם ישנה תמיכה בסטנדרטים פתוחים?</t>
  </si>
  <si>
    <t xml:space="preserve">📁 Infrastructure &amp; Virtualization</t>
  </si>
  <si>
    <t xml:space="preserve">IVS-01.1</t>
  </si>
  <si>
    <t xml:space="preserve">האם קיים בידוד רשת (Network Segmentation)?</t>
  </si>
  <si>
    <t xml:space="preserve">Infrastructure &amp; Virtualization</t>
  </si>
  <si>
    <t xml:space="preserve">IVS-02.1</t>
  </si>
  <si>
    <t xml:space="preserve">האם קיים Firewall ו-IDS/IPS?</t>
  </si>
  <si>
    <t xml:space="preserve">IVS-03.1</t>
  </si>
  <si>
    <t xml:space="preserve">האם מכונות וירטואליות מבודדות בין לקוחות?</t>
  </si>
  <si>
    <t xml:space="preserve">IVS-04.1</t>
  </si>
  <si>
    <t xml:space="preserve">האם קיים ניהול תצורה לתשתית (IaC)?</t>
  </si>
  <si>
    <t xml:space="preserve">IVS-06.1</t>
  </si>
  <si>
    <t xml:space="preserve">האם פורטים ושירותים מוגבלים למינימום הנחוץ?</t>
  </si>
  <si>
    <t xml:space="preserve">IVS-07.1</t>
  </si>
  <si>
    <t xml:space="preserve">האם קיים WAF (Web Application Firewall)?</t>
  </si>
  <si>
    <t xml:space="preserve">IVS-09.1</t>
  </si>
  <si>
    <t xml:space="preserve">האם קיים בדיקת Penetration Test לתשתית?</t>
  </si>
  <si>
    <t xml:space="preserve">📁 Logging &amp; Monitoring</t>
  </si>
  <si>
    <t xml:space="preserve">LOG-01.1</t>
  </si>
  <si>
    <t xml:space="preserve">האם קיימת מדיניות לוגים מתועדת?</t>
  </si>
  <si>
    <t xml:space="preserve">Logging &amp; Monitoring</t>
  </si>
  <si>
    <t xml:space="preserve">LOG-02.1</t>
  </si>
  <si>
    <t xml:space="preserve">האם לוגים נשמרים לפחות 12 חודשים?</t>
  </si>
  <si>
    <t xml:space="preserve">LOG-03.1</t>
  </si>
  <si>
    <t xml:space="preserve">האם קיים SIEM לניטור מרכזי?</t>
  </si>
  <si>
    <t xml:space="preserve">LOG-04.1</t>
  </si>
  <si>
    <t xml:space="preserve">האם לוגי גישה נשמרים?</t>
  </si>
  <si>
    <t xml:space="preserve">LOG-05.1</t>
  </si>
  <si>
    <t xml:space="preserve">האם ישנם התראות על פעילות חשודה?</t>
  </si>
  <si>
    <t xml:space="preserve">LOG-06.1</t>
  </si>
  <si>
    <t xml:space="preserve">האם לוגים מוגנים מפני שינוי?</t>
  </si>
  <si>
    <t xml:space="preserve">LOG-09.1</t>
  </si>
  <si>
    <t xml:space="preserve">האם ניתן לגשת ללוגים בבקשת לקוח?</t>
  </si>
  <si>
    <t xml:space="preserve">📁 Security Incident Management</t>
  </si>
  <si>
    <t xml:space="preserve">SEF-01.1</t>
  </si>
  <si>
    <t xml:space="preserve">האם קיים תהליך Incident Response מתועד?</t>
  </si>
  <si>
    <t xml:space="preserve">Security Incident Management</t>
  </si>
  <si>
    <t xml:space="preserve">SEF-02.1</t>
  </si>
  <si>
    <t xml:space="preserve">האם קיימת צוות CSIRT או שוות ערך?</t>
  </si>
  <si>
    <t xml:space="preserve">SEF-03.1</t>
  </si>
  <si>
    <t xml:space="preserve">האם לקוחות מקבלים הודעה על אירועי אבטחה תוך 72 שעות?</t>
  </si>
  <si>
    <t xml:space="preserve">SEF-04.1</t>
  </si>
  <si>
    <t xml:space="preserve">האם מתבצעות תרגילי Tabletop תקופתיים?</t>
  </si>
  <si>
    <t xml:space="preserve">SEF-05.1</t>
  </si>
  <si>
    <t xml:space="preserve">האם ישנה שיטה לדיווח על פרצות אבטחה?</t>
  </si>
  <si>
    <t xml:space="preserve">SEF-06.1</t>
  </si>
  <si>
    <t xml:space="preserve">האם קיים Bug Bounty Program?</t>
  </si>
  <si>
    <t xml:space="preserve">SEF-07.1</t>
  </si>
  <si>
    <t xml:space="preserve">האם ישנו ערוץ גילוי אחראי (Responsible Disclosure)?</t>
  </si>
  <si>
    <t xml:space="preserve">SEF-08.1</t>
  </si>
  <si>
    <t xml:space="preserve">האם מתבצע Post-Mortem לאחר אירועים?</t>
  </si>
  <si>
    <t xml:space="preserve">📁 Supply Chain Management</t>
  </si>
  <si>
    <t xml:space="preserve">STA-01.1</t>
  </si>
  <si>
    <t xml:space="preserve">האם קיים תהליך הערכת ספקי משנה?</t>
  </si>
  <si>
    <t xml:space="preserve">Supply Chain Management</t>
  </si>
  <si>
    <t xml:space="preserve">STA-02.1</t>
  </si>
  <si>
    <t xml:space="preserve">האם ספקי ענן של הספק ידועים ומתועדים?</t>
  </si>
  <si>
    <t xml:space="preserve">STA-03.1</t>
  </si>
  <si>
    <t xml:space="preserve">האם קיים חוזה DPA עם ספקי משנה?</t>
  </si>
  <si>
    <t xml:space="preserve">STA-04.1</t>
  </si>
  <si>
    <t xml:space="preserve">האם לקוחות מקבלים הודעה על שינוי ספק ענן?</t>
  </si>
  <si>
    <t xml:space="preserve">STA-05.1</t>
  </si>
  <si>
    <t xml:space="preserve">האם ספקי משנה קריטיים מוערכים באבטחה?</t>
  </si>
  <si>
    <t xml:space="preserve">STA-09.1</t>
  </si>
  <si>
    <t xml:space="preserve">האם הספק מפרסם את רשימת תת-המעבדים?</t>
  </si>
  <si>
    <t xml:space="preserve">📁 Threat &amp; Vulnerability Mgmt</t>
  </si>
  <si>
    <t xml:space="preserve">TVM-01.1</t>
  </si>
  <si>
    <t xml:space="preserve">האם מתבצע סריקת פגיעויות שוטפת?</t>
  </si>
  <si>
    <t xml:space="preserve">Threat &amp; Vulnerability Mgmt</t>
  </si>
  <si>
    <t xml:space="preserve">TVM-02.1</t>
  </si>
  <si>
    <t xml:space="preserve">האם פגיעויות קריטיות מתוקנות תוך 30 יום?</t>
  </si>
  <si>
    <t xml:space="preserve">TVM-03.1</t>
  </si>
  <si>
    <t xml:space="preserve">האם מתבצע Penetration Test חיצוני לפחות אחת לשנה?</t>
  </si>
  <si>
    <t xml:space="preserve">TVM-04.1</t>
  </si>
  <si>
    <t xml:space="preserve">האם קיים תהליך Patch Management?</t>
  </si>
  <si>
    <t xml:space="preserve">TVM-05.1</t>
  </si>
  <si>
    <t xml:space="preserve">האם קיים ניטור Threat Intelligence?</t>
  </si>
  <si>
    <t xml:space="preserve">TVM-06.1</t>
  </si>
  <si>
    <t xml:space="preserve">האם ניהול פגיעויות כולל קוד צד שלישי?</t>
  </si>
  <si>
    <t xml:space="preserve">TVM-09.1</t>
  </si>
  <si>
    <t xml:space="preserve">האם תוצאות Pen Test משותפות עם לקוחות (תמצית)?</t>
  </si>
  <si>
    <t xml:space="preserve">📁 Endpoint Management</t>
  </si>
  <si>
    <t xml:space="preserve">UEM-01.1</t>
  </si>
  <si>
    <t xml:space="preserve">האם קיים MDM לניהול מכשירים?</t>
  </si>
  <si>
    <t xml:space="preserve">Endpoint Management</t>
  </si>
  <si>
    <t xml:space="preserve">UEM-02.1</t>
  </si>
  <si>
    <t xml:space="preserve">האם מכשירים ניידים מוצפנים?</t>
  </si>
  <si>
    <t xml:space="preserve">UEM-03.1</t>
  </si>
  <si>
    <t xml:space="preserve">האם קיים Remote Wipe למכשירים אבודים?</t>
  </si>
  <si>
    <t xml:space="preserve">UEM-06.1</t>
  </si>
  <si>
    <t xml:space="preserve">האם Endpoint Protection פרוס על כל המכשירים?</t>
  </si>
  <si>
    <t xml:space="preserve">📁 Audit Assurance &amp; Compliance</t>
  </si>
  <si>
    <t xml:space="preserve">AAC-01.1</t>
  </si>
  <si>
    <t xml:space="preserve">האם הספק מחזיק SOC 2 Type II?</t>
  </si>
  <si>
    <t xml:space="preserve">Audit Assurance &amp; Compliance</t>
  </si>
  <si>
    <t xml:space="preserve">AAC-01.2</t>
  </si>
  <si>
    <t xml:space="preserve">האם הספק מחזיק ISO 27001?</t>
  </si>
  <si>
    <t xml:space="preserve">AAC-02.1</t>
  </si>
  <si>
    <t xml:space="preserve">האם ביקורת פנימית מתבצעת לפחות אחת לשנה?</t>
  </si>
  <si>
    <t xml:space="preserve">AAC-03.1</t>
  </si>
  <si>
    <t xml:space="preserve">האם ביקורת חיצונית מתבצעת?</t>
  </si>
  <si>
    <t xml:space="preserve">AAC-04.1</t>
  </si>
  <si>
    <t xml:space="preserve">האם תוצאות ביקורת זמינות ללקוחות?</t>
  </si>
  <si>
    <t xml:space="preserve">AAC-05.1</t>
  </si>
  <si>
    <t xml:space="preserve">האם קיים תהליך ניהול ממצאי ביקורת?</t>
  </si>
  <si>
    <t xml:space="preserve">AAC-06.1</t>
  </si>
  <si>
    <t xml:space="preserve">האם הספק מפורסם בCSA STAR Registry?</t>
  </si>
  <si>
    <t xml:space="preserve">ציון CAIQ לפי דומיין</t>
  </si>
  <si>
    <t xml:space="preserve">קוד</t>
  </si>
  <si>
    <t xml:space="preserve">שם הדומיין</t>
  </si>
  <si>
    <t xml:space="preserve">משקל %</t>
  </si>
  <si>
    <t xml:space="preserve">תשובות כן</t>
  </si>
  <si>
    <t xml:space="preserve">תשובות לא</t>
  </si>
  <si>
    <t xml:space="preserve">שאלות רלוונטיות</t>
  </si>
  <si>
    <t xml:space="preserve">ציון דומיין %</t>
  </si>
  <si>
    <t xml:space="preserve">ציון משוקלל %</t>
  </si>
  <si>
    <t xml:space="preserve">AIS</t>
  </si>
  <si>
    <t xml:space="preserve">BCR</t>
  </si>
  <si>
    <t xml:space="preserve">CCC</t>
  </si>
  <si>
    <t xml:space="preserve">CEK</t>
  </si>
  <si>
    <t xml:space="preserve">DCS</t>
  </si>
  <si>
    <t xml:space="preserve">DSP</t>
  </si>
  <si>
    <t xml:space="preserve">GRC</t>
  </si>
  <si>
    <t xml:space="preserve">HRS</t>
  </si>
  <si>
    <t xml:space="preserve">IAM</t>
  </si>
  <si>
    <t xml:space="preserve">IPY</t>
  </si>
  <si>
    <t xml:space="preserve">IVS</t>
  </si>
  <si>
    <t xml:space="preserve">LOG</t>
  </si>
  <si>
    <t xml:space="preserve">SEF</t>
  </si>
  <si>
    <t xml:space="preserve">STA</t>
  </si>
  <si>
    <t xml:space="preserve">TVM</t>
  </si>
  <si>
    <t xml:space="preserve">UEM</t>
  </si>
  <si>
    <t xml:space="preserve">HRS2</t>
  </si>
  <si>
    <t xml:space="preserve">סה"כ</t>
  </si>
  <si>
    <t xml:space="preserve">דו"ח ציון CAIQ – סיכום מנהלים</t>
  </si>
  <si>
    <t xml:space="preserve">Cloud Security Alliance · Consensus Assessments Initiative Questionnaire v4</t>
  </si>
  <si>
    <t xml:space="preserve">שם הספק:</t>
  </si>
  <si>
    <t xml:space="preserve">תאריך הערכה:</t>
  </si>
  <si>
    <t xml:space="preserve">מעריך:</t>
  </si>
  <si>
    <t xml:space="preserve">גרסת CAIQ:</t>
  </si>
  <si>
    <t xml:space="preserve">CAIQ v4.0</t>
  </si>
  <si>
    <t xml:space="preserve">ציון אבטחה כולל</t>
  </si>
  <si>
    <t xml:space="preserve">✅ תשובות כן</t>
  </si>
  <si>
    <t xml:space="preserve">❌ תשובות לא</t>
  </si>
  <si>
    <t xml:space="preserve">⬜ שאלות רלוונטיות</t>
  </si>
  <si>
    <t xml:space="preserve">📊 כיסוי שאלות</t>
  </si>
  <si>
    <t xml:space="preserve">פירוט ציון לפי דומיין</t>
  </si>
  <si>
    <t xml:space="preserve">ציון %</t>
  </si>
  <si>
    <t xml:space="preserve">משקל</t>
  </si>
  <si>
    <t xml:space="preserve">ציון משוקלל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</si>
</sst>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%"/>
    <numFmt numFmtId="166" formatCode="General"/>
    <numFmt numFmtId="167" formatCode="0.00\%"/>
    <numFmt numFmtId="168" formatCode="0"/>
    <numFmt numFmtId="169" formatCode="0%"/>
    <numFmt numFmtId="170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2"/>
      <color rgb="FFAACDE8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4A90D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BDC3C7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4A90D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i val="true"/>
      <sz val="11"/>
      <color rgb="FFAACDE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56"/>
      <color rgb="FF1B2A4A"/>
      <name val="Arial"/>
      <family val="0"/>
      <charset val="1"/>
    </font>
    <font>
      <b val="true"/>
      <sz val="15"/>
      <color rgb="FF1B2A4A"/>
      <name val="Arial"/>
      <family val="0"/>
      <charset val="1"/>
    </font>
    <font>
      <b val="true"/>
      <sz val="18"/>
      <color rgb="FF1B2A4A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2E4A7A"/>
        <bgColor rgb="FF1B2A4A"/>
      </patternFill>
    </fill>
    <fill>
      <patternFill patternType="solid">
        <fgColor rgb="FFD5F5E3"/>
        <bgColor rgb="FFD6E4F7"/>
      </patternFill>
    </fill>
    <fill>
      <patternFill patternType="solid">
        <fgColor rgb="FFFEF9E7"/>
        <bgColor rgb="FFF5F7FA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FDEBD0"/>
      </patternFill>
    </fill>
    <fill>
      <patternFill patternType="solid">
        <fgColor rgb="FFFFFFFF"/>
        <bgColor rgb="FFF5F7FA"/>
      </patternFill>
    </fill>
    <fill>
      <patternFill patternType="solid">
        <fgColor rgb="FFF5F7FA"/>
        <bgColor rgb="FFF0F0F0"/>
      </patternFill>
    </fill>
    <fill>
      <patternFill patternType="solid">
        <fgColor rgb="FFD6E4F7"/>
        <bgColor rgb="FFD5F5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27AE60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E74C3C"/>
      </font>
      <fill>
        <patternFill>
          <bgColor rgb="FFFADBD8"/>
        </patternFill>
      </fill>
    </dxf>
    <dxf>
      <font>
        <name val="Arial"/>
        <charset val="1"/>
        <family val="0"/>
        <color rgb="FF888888"/>
      </font>
      <fill>
        <patternFill>
          <bgColor rgb="FFF0F0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88888"/>
      <rgbColor rgb="FF9999FF"/>
      <rgbColor rgb="FF993366"/>
      <rgbColor rgb="FFFEF9E7"/>
      <rgbColor rgb="FFF5F7FA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5F5E3"/>
      <rgbColor rgb="FFFDEBD0"/>
      <rgbColor rgb="FFAACDE8"/>
      <rgbColor rgb="FFFF99CC"/>
      <rgbColor rgb="FFCC99FF"/>
      <rgbColor rgb="FFFADBD8"/>
      <rgbColor rgb="FF4A90D9"/>
      <rgbColor rgb="FF33CCCC"/>
      <rgbColor rgb="FF99CC00"/>
      <rgbColor rgb="FFFFCC00"/>
      <rgbColor rgb="FFFF9900"/>
      <rgbColor rgb="FFE74C3C"/>
      <rgbColor rgb="FF666666"/>
      <rgbColor rgb="FF969696"/>
      <rgbColor rgb="FF003366"/>
      <rgbColor rgb="FF27AE60"/>
      <rgbColor rgb="FF003300"/>
      <rgbColor rgb="FF1A1A2E"/>
      <rgbColor rgb="FF993300"/>
      <rgbColor rgb="FF993366"/>
      <rgbColor rgb="FF2E4A7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3" min="3" style="1" width="55"/>
    <col collapsed="false" customWidth="true" hidden="false" outlineLevel="0" max="4" min="4" style="1" width="20"/>
  </cols>
  <sheetData>
    <row r="1" customFormat="false" ht="9.75" hidden="false" customHeight="true" outlineLevel="0" collapsed="false"/>
    <row r="2" customFormat="false" ht="49.5" hidden="false" customHeight="true" outlineLevel="0" collapsed="false">
      <c r="B2" s="2" t="s">
        <v>0</v>
      </c>
      <c r="C2" s="2"/>
      <c r="D2" s="2"/>
    </row>
    <row r="3" customFormat="false" ht="30" hidden="false" customHeight="true" outlineLevel="0" collapsed="false">
      <c r="B3" s="3" t="s">
        <v>1</v>
      </c>
      <c r="C3" s="3"/>
      <c r="D3" s="3"/>
    </row>
    <row r="5" customFormat="false" ht="21.75" hidden="false" customHeight="true" outlineLevel="0" collapsed="false">
      <c r="B5" s="4" t="s">
        <v>2</v>
      </c>
      <c r="C5" s="4"/>
      <c r="D5" s="4"/>
    </row>
    <row r="6" customFormat="false" ht="21.75" hidden="false" customHeight="true" outlineLevel="0" collapsed="false">
      <c r="B6" s="5" t="s">
        <v>3</v>
      </c>
      <c r="C6" s="5"/>
      <c r="D6" s="5"/>
    </row>
    <row r="8" customFormat="false" ht="21.75" hidden="false" customHeight="true" outlineLevel="0" collapsed="false">
      <c r="B8" s="4" t="s">
        <v>4</v>
      </c>
      <c r="C8" s="4"/>
      <c r="D8" s="4"/>
    </row>
    <row r="9" customFormat="false" ht="21.75" hidden="false" customHeight="true" outlineLevel="0" collapsed="false">
      <c r="B9" s="6" t="s">
        <v>5</v>
      </c>
      <c r="C9" s="7" t="s">
        <v>6</v>
      </c>
    </row>
    <row r="10" customFormat="false" ht="21.75" hidden="false" customHeight="true" outlineLevel="0" collapsed="false">
      <c r="B10" s="6" t="s">
        <v>7</v>
      </c>
      <c r="C10" s="7" t="s">
        <v>8</v>
      </c>
    </row>
    <row r="11" customFormat="false" ht="21.75" hidden="false" customHeight="true" outlineLevel="0" collapsed="false">
      <c r="B11" s="6" t="s">
        <v>9</v>
      </c>
      <c r="C11" s="7" t="s">
        <v>10</v>
      </c>
    </row>
    <row r="13" customFormat="false" ht="21.75" hidden="false" customHeight="true" outlineLevel="0" collapsed="false">
      <c r="B13" s="4" t="s">
        <v>11</v>
      </c>
      <c r="C13" s="4"/>
      <c r="D13" s="4"/>
    </row>
    <row r="14" customFormat="false" ht="21.75" hidden="false" customHeight="true" outlineLevel="0" collapsed="false">
      <c r="B14" s="6" t="s">
        <v>12</v>
      </c>
      <c r="C14" s="7" t="s">
        <v>13</v>
      </c>
    </row>
    <row r="15" customFormat="false" ht="21.75" hidden="false" customHeight="true" outlineLevel="0" collapsed="false">
      <c r="B15" s="6" t="s">
        <v>14</v>
      </c>
      <c r="C15" s="7" t="s">
        <v>15</v>
      </c>
    </row>
    <row r="16" customFormat="false" ht="21.75" hidden="false" customHeight="true" outlineLevel="0" collapsed="false">
      <c r="B16" s="6" t="s">
        <v>16</v>
      </c>
      <c r="C16" s="7" t="s">
        <v>17</v>
      </c>
    </row>
    <row r="18" customFormat="false" ht="21.75" hidden="false" customHeight="true" outlineLevel="0" collapsed="false">
      <c r="B18" s="4" t="s">
        <v>18</v>
      </c>
      <c r="C18" s="4"/>
      <c r="D18" s="4"/>
    </row>
    <row r="19" customFormat="false" ht="21.75" hidden="false" customHeight="true" outlineLevel="0" collapsed="false">
      <c r="B19" s="5" t="s">
        <v>19</v>
      </c>
      <c r="C19" s="5"/>
      <c r="D19" s="5"/>
    </row>
    <row r="21" customFormat="false" ht="21.75" hidden="false" customHeight="true" outlineLevel="0" collapsed="false">
      <c r="B21" s="4" t="s">
        <v>20</v>
      </c>
      <c r="C21" s="4"/>
      <c r="D21" s="4"/>
    </row>
    <row r="22" customFormat="false" ht="21.75" hidden="false" customHeight="true" outlineLevel="0" collapsed="false">
      <c r="B22" s="8" t="s">
        <v>21</v>
      </c>
      <c r="C22" s="9" t="s">
        <v>22</v>
      </c>
      <c r="D22" s="10"/>
    </row>
    <row r="23" customFormat="false" ht="21.75" hidden="false" customHeight="true" outlineLevel="0" collapsed="false">
      <c r="B23" s="11" t="s">
        <v>23</v>
      </c>
      <c r="C23" s="12" t="s">
        <v>24</v>
      </c>
      <c r="D23" s="13"/>
    </row>
    <row r="24" customFormat="false" ht="21.75" hidden="false" customHeight="true" outlineLevel="0" collapsed="false">
      <c r="B24" s="14" t="s">
        <v>25</v>
      </c>
      <c r="C24" s="15" t="s">
        <v>26</v>
      </c>
      <c r="D24" s="16"/>
    </row>
    <row r="25" customFormat="false" ht="21.75" hidden="false" customHeight="true" outlineLevel="0" collapsed="false">
      <c r="B25" s="17" t="s">
        <v>27</v>
      </c>
      <c r="C25" s="18" t="s">
        <v>28</v>
      </c>
      <c r="D25" s="19"/>
    </row>
  </sheetData>
  <mergeCells count="9">
    <mergeCell ref="B2:D2"/>
    <mergeCell ref="B3:D3"/>
    <mergeCell ref="B5:D5"/>
    <mergeCell ref="B6:D6"/>
    <mergeCell ref="B8:D8"/>
    <mergeCell ref="B13:D13"/>
    <mergeCell ref="B18:D18"/>
    <mergeCell ref="B19:D19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  <col collapsed="false" customWidth="true" hidden="false" outlineLevel="0" max="3" min="3" style="1" width="35"/>
    <col collapsed="false" customWidth="true" hidden="false" outlineLevel="0" max="4" min="4" style="1" width="10"/>
    <col collapsed="false" customWidth="true" hidden="false" outlineLevel="0" max="5" min="5" style="1" width="20"/>
    <col collapsed="false" customWidth="true" hidden="false" outlineLevel="0" max="6" min="6" style="1" width="30"/>
  </cols>
  <sheetData>
    <row r="1" customFormat="false" ht="39.75" hidden="false" customHeight="true" outlineLevel="0" collapsed="false">
      <c r="A1" s="20" t="s">
        <v>29</v>
      </c>
      <c r="B1" s="20" t="s">
        <v>30</v>
      </c>
      <c r="C1" s="20" t="s">
        <v>31</v>
      </c>
      <c r="D1" s="20" t="s">
        <v>32</v>
      </c>
      <c r="E1" s="20" t="s">
        <v>33</v>
      </c>
      <c r="F1" s="20" t="s">
        <v>34</v>
      </c>
    </row>
    <row r="2" customFormat="false" ht="21.75" hidden="false" customHeight="true" outlineLevel="0" collapsed="false">
      <c r="A2" s="21" t="s">
        <v>35</v>
      </c>
      <c r="B2" s="21"/>
      <c r="C2" s="21"/>
      <c r="D2" s="21"/>
      <c r="E2" s="21"/>
      <c r="F2" s="21"/>
    </row>
    <row r="3" customFormat="false" ht="19.5" hidden="false" customHeight="true" outlineLevel="0" collapsed="false">
      <c r="A3" s="22" t="s">
        <v>36</v>
      </c>
      <c r="B3" s="23" t="s">
        <v>37</v>
      </c>
      <c r="C3" s="24" t="s">
        <v>38</v>
      </c>
      <c r="D3" s="25"/>
      <c r="E3" s="26"/>
      <c r="F3" s="27"/>
    </row>
    <row r="4" customFormat="false" ht="19.5" hidden="false" customHeight="true" outlineLevel="0" collapsed="false">
      <c r="A4" s="28" t="s">
        <v>39</v>
      </c>
      <c r="B4" s="29" t="s">
        <v>40</v>
      </c>
      <c r="C4" s="30" t="s">
        <v>38</v>
      </c>
      <c r="D4" s="31"/>
      <c r="E4" s="32"/>
      <c r="F4" s="33"/>
    </row>
    <row r="5" customFormat="false" ht="19.5" hidden="false" customHeight="true" outlineLevel="0" collapsed="false">
      <c r="A5" s="22" t="s">
        <v>41</v>
      </c>
      <c r="B5" s="23" t="s">
        <v>42</v>
      </c>
      <c r="C5" s="24" t="s">
        <v>38</v>
      </c>
      <c r="D5" s="34" t="s">
        <v>43</v>
      </c>
      <c r="E5" s="26"/>
      <c r="F5" s="27"/>
    </row>
    <row r="6" customFormat="false" ht="19.5" hidden="false" customHeight="true" outlineLevel="0" collapsed="false">
      <c r="A6" s="28" t="s">
        <v>44</v>
      </c>
      <c r="B6" s="29" t="s">
        <v>45</v>
      </c>
      <c r="C6" s="30" t="s">
        <v>38</v>
      </c>
      <c r="D6" s="35" t="s">
        <v>43</v>
      </c>
      <c r="E6" s="32"/>
      <c r="F6" s="33"/>
    </row>
    <row r="7" customFormat="false" ht="19.5" hidden="false" customHeight="true" outlineLevel="0" collapsed="false">
      <c r="A7" s="22" t="s">
        <v>46</v>
      </c>
      <c r="B7" s="23" t="s">
        <v>47</v>
      </c>
      <c r="C7" s="24" t="s">
        <v>38</v>
      </c>
      <c r="D7" s="34" t="s">
        <v>43</v>
      </c>
      <c r="E7" s="26"/>
      <c r="F7" s="27"/>
    </row>
    <row r="8" customFormat="false" ht="19.5" hidden="false" customHeight="true" outlineLevel="0" collapsed="false">
      <c r="A8" s="28" t="s">
        <v>48</v>
      </c>
      <c r="B8" s="29" t="s">
        <v>49</v>
      </c>
      <c r="C8" s="30" t="s">
        <v>38</v>
      </c>
      <c r="D8" s="31"/>
      <c r="E8" s="32"/>
      <c r="F8" s="33"/>
    </row>
    <row r="9" customFormat="false" ht="19.5" hidden="false" customHeight="true" outlineLevel="0" collapsed="false">
      <c r="A9" s="22" t="s">
        <v>50</v>
      </c>
      <c r="B9" s="23" t="s">
        <v>51</v>
      </c>
      <c r="C9" s="24" t="s">
        <v>38</v>
      </c>
      <c r="D9" s="25"/>
      <c r="E9" s="26"/>
      <c r="F9" s="27"/>
    </row>
    <row r="10" customFormat="false" ht="19.5" hidden="false" customHeight="true" outlineLevel="0" collapsed="false">
      <c r="A10" s="28" t="s">
        <v>52</v>
      </c>
      <c r="B10" s="29" t="s">
        <v>53</v>
      </c>
      <c r="C10" s="30" t="s">
        <v>38</v>
      </c>
      <c r="D10" s="31"/>
      <c r="E10" s="32"/>
      <c r="F10" s="33"/>
    </row>
    <row r="11" customFormat="false" ht="19.5" hidden="false" customHeight="true" outlineLevel="0" collapsed="false">
      <c r="A11" s="22" t="s">
        <v>54</v>
      </c>
      <c r="B11" s="23" t="s">
        <v>55</v>
      </c>
      <c r="C11" s="24" t="s">
        <v>38</v>
      </c>
      <c r="D11" s="25"/>
      <c r="E11" s="26"/>
      <c r="F11" s="27"/>
    </row>
    <row r="12" customFormat="false" ht="19.5" hidden="false" customHeight="true" outlineLevel="0" collapsed="false">
      <c r="A12" s="28" t="s">
        <v>56</v>
      </c>
      <c r="B12" s="29" t="s">
        <v>57</v>
      </c>
      <c r="C12" s="30" t="s">
        <v>38</v>
      </c>
      <c r="D12" s="35" t="s">
        <v>43</v>
      </c>
      <c r="E12" s="32"/>
      <c r="F12" s="33"/>
    </row>
    <row r="13" customFormat="false" ht="21.75" hidden="false" customHeight="true" outlineLevel="0" collapsed="false">
      <c r="A13" s="21" t="s">
        <v>58</v>
      </c>
      <c r="B13" s="21"/>
      <c r="C13" s="21"/>
      <c r="D13" s="21"/>
      <c r="E13" s="21"/>
      <c r="F13" s="21"/>
    </row>
    <row r="14" customFormat="false" ht="19.5" hidden="false" customHeight="true" outlineLevel="0" collapsed="false">
      <c r="A14" s="28" t="s">
        <v>59</v>
      </c>
      <c r="B14" s="29" t="s">
        <v>60</v>
      </c>
      <c r="C14" s="30" t="s">
        <v>61</v>
      </c>
      <c r="D14" s="35" t="s">
        <v>43</v>
      </c>
      <c r="E14" s="32"/>
      <c r="F14" s="33"/>
    </row>
    <row r="15" customFormat="false" ht="19.5" hidden="false" customHeight="true" outlineLevel="0" collapsed="false">
      <c r="A15" s="22" t="s">
        <v>62</v>
      </c>
      <c r="B15" s="23" t="s">
        <v>63</v>
      </c>
      <c r="C15" s="24" t="s">
        <v>61</v>
      </c>
      <c r="D15" s="25"/>
      <c r="E15" s="26"/>
      <c r="F15" s="27"/>
    </row>
    <row r="16" customFormat="false" ht="19.5" hidden="false" customHeight="true" outlineLevel="0" collapsed="false">
      <c r="A16" s="28" t="s">
        <v>64</v>
      </c>
      <c r="B16" s="29" t="s">
        <v>65</v>
      </c>
      <c r="C16" s="30" t="s">
        <v>61</v>
      </c>
      <c r="D16" s="35" t="s">
        <v>43</v>
      </c>
      <c r="E16" s="32"/>
      <c r="F16" s="33"/>
    </row>
    <row r="17" customFormat="false" ht="19.5" hidden="false" customHeight="true" outlineLevel="0" collapsed="false">
      <c r="A17" s="22" t="s">
        <v>66</v>
      </c>
      <c r="B17" s="23" t="s">
        <v>67</v>
      </c>
      <c r="C17" s="24" t="s">
        <v>61</v>
      </c>
      <c r="D17" s="25"/>
      <c r="E17" s="26"/>
      <c r="F17" s="27"/>
    </row>
    <row r="18" customFormat="false" ht="19.5" hidden="false" customHeight="true" outlineLevel="0" collapsed="false">
      <c r="A18" s="28" t="s">
        <v>68</v>
      </c>
      <c r="B18" s="29" t="s">
        <v>69</v>
      </c>
      <c r="C18" s="30" t="s">
        <v>61</v>
      </c>
      <c r="D18" s="31"/>
      <c r="E18" s="32"/>
      <c r="F18" s="33"/>
    </row>
    <row r="19" customFormat="false" ht="19.5" hidden="false" customHeight="true" outlineLevel="0" collapsed="false">
      <c r="A19" s="22" t="s">
        <v>70</v>
      </c>
      <c r="B19" s="23" t="s">
        <v>71</v>
      </c>
      <c r="C19" s="24" t="s">
        <v>61</v>
      </c>
      <c r="D19" s="25"/>
      <c r="E19" s="26"/>
      <c r="F19" s="27"/>
    </row>
    <row r="20" customFormat="false" ht="19.5" hidden="false" customHeight="true" outlineLevel="0" collapsed="false">
      <c r="A20" s="28" t="s">
        <v>72</v>
      </c>
      <c r="B20" s="29" t="s">
        <v>73</v>
      </c>
      <c r="C20" s="30" t="s">
        <v>61</v>
      </c>
      <c r="D20" s="35" t="s">
        <v>43</v>
      </c>
      <c r="E20" s="32"/>
      <c r="F20" s="33"/>
    </row>
    <row r="21" customFormat="false" ht="19.5" hidden="false" customHeight="true" outlineLevel="0" collapsed="false">
      <c r="A21" s="22" t="s">
        <v>74</v>
      </c>
      <c r="B21" s="23" t="s">
        <v>75</v>
      </c>
      <c r="C21" s="24" t="s">
        <v>61</v>
      </c>
      <c r="D21" s="25"/>
      <c r="E21" s="26"/>
      <c r="F21" s="27"/>
    </row>
    <row r="22" customFormat="false" ht="19.5" hidden="false" customHeight="true" outlineLevel="0" collapsed="false">
      <c r="A22" s="28" t="s">
        <v>76</v>
      </c>
      <c r="B22" s="29" t="s">
        <v>77</v>
      </c>
      <c r="C22" s="30" t="s">
        <v>61</v>
      </c>
      <c r="D22" s="31"/>
      <c r="E22" s="32"/>
      <c r="F22" s="33"/>
    </row>
    <row r="23" customFormat="false" ht="19.5" hidden="false" customHeight="true" outlineLevel="0" collapsed="false">
      <c r="A23" s="22" t="s">
        <v>78</v>
      </c>
      <c r="B23" s="23" t="s">
        <v>79</v>
      </c>
      <c r="C23" s="24" t="s">
        <v>61</v>
      </c>
      <c r="D23" s="25"/>
      <c r="E23" s="26"/>
      <c r="F23" s="27"/>
    </row>
    <row r="24" customFormat="false" ht="19.5" hidden="false" customHeight="true" outlineLevel="0" collapsed="false">
      <c r="A24" s="28" t="s">
        <v>80</v>
      </c>
      <c r="B24" s="29" t="s">
        <v>81</v>
      </c>
      <c r="C24" s="30" t="s">
        <v>61</v>
      </c>
      <c r="D24" s="31"/>
      <c r="E24" s="32"/>
      <c r="F24" s="33"/>
    </row>
    <row r="25" customFormat="false" ht="19.5" hidden="false" customHeight="true" outlineLevel="0" collapsed="false">
      <c r="A25" s="22" t="s">
        <v>82</v>
      </c>
      <c r="B25" s="23" t="s">
        <v>83</v>
      </c>
      <c r="C25" s="24" t="s">
        <v>61</v>
      </c>
      <c r="D25" s="25"/>
      <c r="E25" s="26"/>
      <c r="F25" s="27"/>
    </row>
    <row r="26" customFormat="false" ht="21.75" hidden="false" customHeight="true" outlineLevel="0" collapsed="false">
      <c r="A26" s="21" t="s">
        <v>84</v>
      </c>
      <c r="B26" s="21"/>
      <c r="C26" s="21"/>
      <c r="D26" s="21"/>
      <c r="E26" s="21"/>
      <c r="F26" s="21"/>
    </row>
    <row r="27" customFormat="false" ht="19.5" hidden="false" customHeight="true" outlineLevel="0" collapsed="false">
      <c r="A27" s="22" t="s">
        <v>85</v>
      </c>
      <c r="B27" s="23" t="s">
        <v>86</v>
      </c>
      <c r="C27" s="24" t="s">
        <v>87</v>
      </c>
      <c r="D27" s="25"/>
      <c r="E27" s="26"/>
      <c r="F27" s="27"/>
    </row>
    <row r="28" customFormat="false" ht="19.5" hidden="false" customHeight="true" outlineLevel="0" collapsed="false">
      <c r="A28" s="28" t="s">
        <v>88</v>
      </c>
      <c r="B28" s="29" t="s">
        <v>89</v>
      </c>
      <c r="C28" s="30" t="s">
        <v>87</v>
      </c>
      <c r="D28" s="35" t="s">
        <v>43</v>
      </c>
      <c r="E28" s="32"/>
      <c r="F28" s="33"/>
    </row>
    <row r="29" customFormat="false" ht="19.5" hidden="false" customHeight="true" outlineLevel="0" collapsed="false">
      <c r="A29" s="22" t="s">
        <v>90</v>
      </c>
      <c r="B29" s="23" t="s">
        <v>91</v>
      </c>
      <c r="C29" s="24" t="s">
        <v>87</v>
      </c>
      <c r="D29" s="25"/>
      <c r="E29" s="26"/>
      <c r="F29" s="27"/>
    </row>
    <row r="30" customFormat="false" ht="19.5" hidden="false" customHeight="true" outlineLevel="0" collapsed="false">
      <c r="A30" s="28" t="s">
        <v>92</v>
      </c>
      <c r="B30" s="29" t="s">
        <v>93</v>
      </c>
      <c r="C30" s="30" t="s">
        <v>87</v>
      </c>
      <c r="D30" s="31"/>
      <c r="E30" s="32"/>
      <c r="F30" s="33"/>
    </row>
    <row r="31" customFormat="false" ht="19.5" hidden="false" customHeight="true" outlineLevel="0" collapsed="false">
      <c r="A31" s="22" t="s">
        <v>94</v>
      </c>
      <c r="B31" s="23" t="s">
        <v>95</v>
      </c>
      <c r="C31" s="24" t="s">
        <v>87</v>
      </c>
      <c r="D31" s="34" t="s">
        <v>43</v>
      </c>
      <c r="E31" s="26"/>
      <c r="F31" s="27"/>
    </row>
    <row r="32" customFormat="false" ht="19.5" hidden="false" customHeight="true" outlineLevel="0" collapsed="false">
      <c r="A32" s="28" t="s">
        <v>96</v>
      </c>
      <c r="B32" s="29" t="s">
        <v>97</v>
      </c>
      <c r="C32" s="30" t="s">
        <v>87</v>
      </c>
      <c r="D32" s="31"/>
      <c r="E32" s="32"/>
      <c r="F32" s="33"/>
    </row>
    <row r="33" customFormat="false" ht="19.5" hidden="false" customHeight="true" outlineLevel="0" collapsed="false">
      <c r="A33" s="22" t="s">
        <v>98</v>
      </c>
      <c r="B33" s="23" t="s">
        <v>99</v>
      </c>
      <c r="C33" s="24" t="s">
        <v>87</v>
      </c>
      <c r="D33" s="25"/>
      <c r="E33" s="26"/>
      <c r="F33" s="27"/>
    </row>
    <row r="34" customFormat="false" ht="21.75" hidden="false" customHeight="true" outlineLevel="0" collapsed="false">
      <c r="A34" s="21" t="s">
        <v>100</v>
      </c>
      <c r="B34" s="21"/>
      <c r="C34" s="21"/>
      <c r="D34" s="21"/>
      <c r="E34" s="21"/>
      <c r="F34" s="21"/>
    </row>
    <row r="35" customFormat="false" ht="19.5" hidden="false" customHeight="true" outlineLevel="0" collapsed="false">
      <c r="A35" s="22" t="s">
        <v>101</v>
      </c>
      <c r="B35" s="23" t="s">
        <v>102</v>
      </c>
      <c r="C35" s="24" t="s">
        <v>103</v>
      </c>
      <c r="D35" s="34" t="s">
        <v>43</v>
      </c>
      <c r="E35" s="26"/>
      <c r="F35" s="27"/>
    </row>
    <row r="36" customFormat="false" ht="19.5" hidden="false" customHeight="true" outlineLevel="0" collapsed="false">
      <c r="A36" s="28" t="s">
        <v>104</v>
      </c>
      <c r="B36" s="29" t="s">
        <v>105</v>
      </c>
      <c r="C36" s="30" t="s">
        <v>103</v>
      </c>
      <c r="D36" s="35" t="s">
        <v>43</v>
      </c>
      <c r="E36" s="32"/>
      <c r="F36" s="33"/>
    </row>
    <row r="37" customFormat="false" ht="19.5" hidden="false" customHeight="true" outlineLevel="0" collapsed="false">
      <c r="A37" s="22" t="s">
        <v>106</v>
      </c>
      <c r="B37" s="23" t="s">
        <v>107</v>
      </c>
      <c r="C37" s="24" t="s">
        <v>103</v>
      </c>
      <c r="D37" s="34" t="s">
        <v>43</v>
      </c>
      <c r="E37" s="26"/>
      <c r="F37" s="27"/>
    </row>
    <row r="38" customFormat="false" ht="19.5" hidden="false" customHeight="true" outlineLevel="0" collapsed="false">
      <c r="A38" s="28" t="s">
        <v>108</v>
      </c>
      <c r="B38" s="29" t="s">
        <v>109</v>
      </c>
      <c r="C38" s="30" t="s">
        <v>103</v>
      </c>
      <c r="D38" s="35" t="s">
        <v>43</v>
      </c>
      <c r="E38" s="32"/>
      <c r="F38" s="33"/>
    </row>
    <row r="39" customFormat="false" ht="19.5" hidden="false" customHeight="true" outlineLevel="0" collapsed="false">
      <c r="A39" s="22" t="s">
        <v>110</v>
      </c>
      <c r="B39" s="23" t="s">
        <v>111</v>
      </c>
      <c r="C39" s="24" t="s">
        <v>103</v>
      </c>
      <c r="D39" s="25"/>
      <c r="E39" s="26"/>
      <c r="F39" s="27"/>
    </row>
    <row r="40" customFormat="false" ht="19.5" hidden="false" customHeight="true" outlineLevel="0" collapsed="false">
      <c r="A40" s="28" t="s">
        <v>112</v>
      </c>
      <c r="B40" s="29" t="s">
        <v>113</v>
      </c>
      <c r="C40" s="30" t="s">
        <v>103</v>
      </c>
      <c r="D40" s="31"/>
      <c r="E40" s="32"/>
      <c r="F40" s="33"/>
    </row>
    <row r="41" customFormat="false" ht="19.5" hidden="false" customHeight="true" outlineLevel="0" collapsed="false">
      <c r="A41" s="22" t="s">
        <v>114</v>
      </c>
      <c r="B41" s="23" t="s">
        <v>115</v>
      </c>
      <c r="C41" s="24" t="s">
        <v>103</v>
      </c>
      <c r="D41" s="25"/>
      <c r="E41" s="26"/>
      <c r="F41" s="27"/>
    </row>
    <row r="42" customFormat="false" ht="19.5" hidden="false" customHeight="true" outlineLevel="0" collapsed="false">
      <c r="A42" s="28" t="s">
        <v>116</v>
      </c>
      <c r="B42" s="29" t="s">
        <v>117</v>
      </c>
      <c r="C42" s="30" t="s">
        <v>103</v>
      </c>
      <c r="D42" s="31"/>
      <c r="E42" s="32"/>
      <c r="F42" s="33"/>
    </row>
    <row r="43" customFormat="false" ht="21.75" hidden="false" customHeight="true" outlineLevel="0" collapsed="false">
      <c r="A43" s="21" t="s">
        <v>118</v>
      </c>
      <c r="B43" s="21"/>
      <c r="C43" s="21"/>
      <c r="D43" s="21"/>
      <c r="E43" s="21"/>
      <c r="F43" s="21"/>
    </row>
    <row r="44" customFormat="false" ht="19.5" hidden="false" customHeight="true" outlineLevel="0" collapsed="false">
      <c r="A44" s="28" t="s">
        <v>119</v>
      </c>
      <c r="B44" s="29" t="s">
        <v>120</v>
      </c>
      <c r="C44" s="30" t="s">
        <v>121</v>
      </c>
      <c r="D44" s="35" t="s">
        <v>43</v>
      </c>
      <c r="E44" s="32"/>
      <c r="F44" s="33"/>
    </row>
    <row r="45" customFormat="false" ht="19.5" hidden="false" customHeight="true" outlineLevel="0" collapsed="false">
      <c r="A45" s="22" t="s">
        <v>122</v>
      </c>
      <c r="B45" s="23" t="s">
        <v>123</v>
      </c>
      <c r="C45" s="24" t="s">
        <v>121</v>
      </c>
      <c r="D45" s="25"/>
      <c r="E45" s="26"/>
      <c r="F45" s="27"/>
    </row>
    <row r="46" customFormat="false" ht="19.5" hidden="false" customHeight="true" outlineLevel="0" collapsed="false">
      <c r="A46" s="28" t="s">
        <v>124</v>
      </c>
      <c r="B46" s="29" t="s">
        <v>125</v>
      </c>
      <c r="C46" s="30" t="s">
        <v>121</v>
      </c>
      <c r="D46" s="35" t="s">
        <v>43</v>
      </c>
      <c r="E46" s="32"/>
      <c r="F46" s="33"/>
    </row>
    <row r="47" customFormat="false" ht="19.5" hidden="false" customHeight="true" outlineLevel="0" collapsed="false">
      <c r="A47" s="22" t="s">
        <v>126</v>
      </c>
      <c r="B47" s="23" t="s">
        <v>127</v>
      </c>
      <c r="C47" s="24" t="s">
        <v>121</v>
      </c>
      <c r="D47" s="25"/>
      <c r="E47" s="26"/>
      <c r="F47" s="27"/>
    </row>
    <row r="48" customFormat="false" ht="19.5" hidden="false" customHeight="true" outlineLevel="0" collapsed="false">
      <c r="A48" s="28" t="s">
        <v>128</v>
      </c>
      <c r="B48" s="29" t="s">
        <v>129</v>
      </c>
      <c r="C48" s="30" t="s">
        <v>121</v>
      </c>
      <c r="D48" s="31"/>
      <c r="E48" s="32"/>
      <c r="F48" s="33"/>
    </row>
    <row r="49" customFormat="false" ht="19.5" hidden="false" customHeight="true" outlineLevel="0" collapsed="false">
      <c r="A49" s="22" t="s">
        <v>130</v>
      </c>
      <c r="B49" s="23" t="s">
        <v>131</v>
      </c>
      <c r="C49" s="24" t="s">
        <v>121</v>
      </c>
      <c r="D49" s="25"/>
      <c r="E49" s="26"/>
      <c r="F49" s="27"/>
    </row>
    <row r="50" customFormat="false" ht="21.75" hidden="false" customHeight="true" outlineLevel="0" collapsed="false">
      <c r="A50" s="21" t="s">
        <v>132</v>
      </c>
      <c r="B50" s="21"/>
      <c r="C50" s="21"/>
      <c r="D50" s="21"/>
      <c r="E50" s="21"/>
      <c r="F50" s="21"/>
    </row>
    <row r="51" customFormat="false" ht="19.5" hidden="false" customHeight="true" outlineLevel="0" collapsed="false">
      <c r="A51" s="22" t="s">
        <v>133</v>
      </c>
      <c r="B51" s="23" t="s">
        <v>134</v>
      </c>
      <c r="C51" s="24" t="s">
        <v>135</v>
      </c>
      <c r="D51" s="34" t="s">
        <v>43</v>
      </c>
      <c r="E51" s="26"/>
      <c r="F51" s="27"/>
    </row>
    <row r="52" customFormat="false" ht="19.5" hidden="false" customHeight="true" outlineLevel="0" collapsed="false">
      <c r="A52" s="28" t="s">
        <v>136</v>
      </c>
      <c r="B52" s="29" t="s">
        <v>137</v>
      </c>
      <c r="C52" s="30" t="s">
        <v>135</v>
      </c>
      <c r="D52" s="31"/>
      <c r="E52" s="32"/>
      <c r="F52" s="33"/>
    </row>
    <row r="53" customFormat="false" ht="19.5" hidden="false" customHeight="true" outlineLevel="0" collapsed="false">
      <c r="A53" s="22" t="s">
        <v>138</v>
      </c>
      <c r="B53" s="23" t="s">
        <v>139</v>
      </c>
      <c r="C53" s="24" t="s">
        <v>135</v>
      </c>
      <c r="D53" s="34" t="s">
        <v>43</v>
      </c>
      <c r="E53" s="26"/>
      <c r="F53" s="27"/>
    </row>
    <row r="54" customFormat="false" ht="19.5" hidden="false" customHeight="true" outlineLevel="0" collapsed="false">
      <c r="A54" s="28" t="s">
        <v>140</v>
      </c>
      <c r="B54" s="29" t="s">
        <v>141</v>
      </c>
      <c r="C54" s="30" t="s">
        <v>135</v>
      </c>
      <c r="D54" s="35" t="s">
        <v>43</v>
      </c>
      <c r="E54" s="32"/>
      <c r="F54" s="33"/>
    </row>
    <row r="55" customFormat="false" ht="19.5" hidden="false" customHeight="true" outlineLevel="0" collapsed="false">
      <c r="A55" s="22" t="s">
        <v>142</v>
      </c>
      <c r="B55" s="23" t="s">
        <v>143</v>
      </c>
      <c r="C55" s="24" t="s">
        <v>135</v>
      </c>
      <c r="D55" s="25"/>
      <c r="E55" s="26"/>
      <c r="F55" s="27"/>
    </row>
    <row r="56" customFormat="false" ht="19.5" hidden="false" customHeight="true" outlineLevel="0" collapsed="false">
      <c r="A56" s="28" t="s">
        <v>144</v>
      </c>
      <c r="B56" s="29" t="s">
        <v>145</v>
      </c>
      <c r="C56" s="30" t="s">
        <v>135</v>
      </c>
      <c r="D56" s="35" t="s">
        <v>43</v>
      </c>
      <c r="E56" s="32"/>
      <c r="F56" s="33"/>
    </row>
    <row r="57" customFormat="false" ht="19.5" hidden="false" customHeight="true" outlineLevel="0" collapsed="false">
      <c r="A57" s="22" t="s">
        <v>146</v>
      </c>
      <c r="B57" s="23" t="s">
        <v>147</v>
      </c>
      <c r="C57" s="24" t="s">
        <v>135</v>
      </c>
      <c r="D57" s="25"/>
      <c r="E57" s="26"/>
      <c r="F57" s="27"/>
    </row>
    <row r="58" customFormat="false" ht="19.5" hidden="false" customHeight="true" outlineLevel="0" collapsed="false">
      <c r="A58" s="28" t="s">
        <v>148</v>
      </c>
      <c r="B58" s="29" t="s">
        <v>149</v>
      </c>
      <c r="C58" s="30" t="s">
        <v>135</v>
      </c>
      <c r="D58" s="31"/>
      <c r="E58" s="32"/>
      <c r="F58" s="33"/>
    </row>
    <row r="59" customFormat="false" ht="19.5" hidden="false" customHeight="true" outlineLevel="0" collapsed="false">
      <c r="A59" s="22" t="s">
        <v>150</v>
      </c>
      <c r="B59" s="23" t="s">
        <v>151</v>
      </c>
      <c r="C59" s="24" t="s">
        <v>135</v>
      </c>
      <c r="D59" s="25"/>
      <c r="E59" s="26"/>
      <c r="F59" s="27"/>
    </row>
    <row r="60" customFormat="false" ht="19.5" hidden="false" customHeight="true" outlineLevel="0" collapsed="false">
      <c r="A60" s="28" t="s">
        <v>152</v>
      </c>
      <c r="B60" s="29" t="s">
        <v>153</v>
      </c>
      <c r="C60" s="30" t="s">
        <v>135</v>
      </c>
      <c r="D60" s="31"/>
      <c r="E60" s="32"/>
      <c r="F60" s="33"/>
    </row>
    <row r="61" customFormat="false" ht="19.5" hidden="false" customHeight="true" outlineLevel="0" collapsed="false">
      <c r="A61" s="22" t="s">
        <v>154</v>
      </c>
      <c r="B61" s="23" t="s">
        <v>155</v>
      </c>
      <c r="C61" s="24" t="s">
        <v>135</v>
      </c>
      <c r="D61" s="25"/>
      <c r="E61" s="26"/>
      <c r="F61" s="27"/>
    </row>
    <row r="62" customFormat="false" ht="19.5" hidden="false" customHeight="true" outlineLevel="0" collapsed="false">
      <c r="A62" s="28" t="s">
        <v>156</v>
      </c>
      <c r="B62" s="29" t="s">
        <v>157</v>
      </c>
      <c r="C62" s="30" t="s">
        <v>135</v>
      </c>
      <c r="D62" s="35" t="s">
        <v>43</v>
      </c>
      <c r="E62" s="32"/>
      <c r="F62" s="33"/>
    </row>
    <row r="63" customFormat="false" ht="21.75" hidden="false" customHeight="true" outlineLevel="0" collapsed="false">
      <c r="A63" s="21" t="s">
        <v>158</v>
      </c>
      <c r="B63" s="21"/>
      <c r="C63" s="21"/>
      <c r="D63" s="21"/>
      <c r="E63" s="21"/>
      <c r="F63" s="21"/>
    </row>
    <row r="64" customFormat="false" ht="19.5" hidden="false" customHeight="true" outlineLevel="0" collapsed="false">
      <c r="A64" s="28" t="s">
        <v>159</v>
      </c>
      <c r="B64" s="29" t="s">
        <v>160</v>
      </c>
      <c r="C64" s="30" t="s">
        <v>161</v>
      </c>
      <c r="D64" s="35" t="s">
        <v>43</v>
      </c>
      <c r="E64" s="32"/>
      <c r="F64" s="33"/>
    </row>
    <row r="65" customFormat="false" ht="19.5" hidden="false" customHeight="true" outlineLevel="0" collapsed="false">
      <c r="A65" s="22" t="s">
        <v>162</v>
      </c>
      <c r="B65" s="23" t="s">
        <v>163</v>
      </c>
      <c r="C65" s="24" t="s">
        <v>161</v>
      </c>
      <c r="D65" s="34" t="s">
        <v>43</v>
      </c>
      <c r="E65" s="26"/>
      <c r="F65" s="27"/>
    </row>
    <row r="66" customFormat="false" ht="19.5" hidden="false" customHeight="true" outlineLevel="0" collapsed="false">
      <c r="A66" s="28" t="s">
        <v>164</v>
      </c>
      <c r="B66" s="29" t="s">
        <v>165</v>
      </c>
      <c r="C66" s="30" t="s">
        <v>161</v>
      </c>
      <c r="D66" s="31"/>
      <c r="E66" s="32"/>
      <c r="F66" s="33"/>
    </row>
    <row r="67" customFormat="false" ht="19.5" hidden="false" customHeight="true" outlineLevel="0" collapsed="false">
      <c r="A67" s="22" t="s">
        <v>166</v>
      </c>
      <c r="B67" s="23" t="s">
        <v>167</v>
      </c>
      <c r="C67" s="24" t="s">
        <v>161</v>
      </c>
      <c r="D67" s="25"/>
      <c r="E67" s="26"/>
      <c r="F67" s="27"/>
    </row>
    <row r="68" customFormat="false" ht="19.5" hidden="false" customHeight="true" outlineLevel="0" collapsed="false">
      <c r="A68" s="28" t="s">
        <v>168</v>
      </c>
      <c r="B68" s="29" t="s">
        <v>169</v>
      </c>
      <c r="C68" s="30" t="s">
        <v>161</v>
      </c>
      <c r="D68" s="31"/>
      <c r="E68" s="32"/>
      <c r="F68" s="33"/>
    </row>
    <row r="69" customFormat="false" ht="19.5" hidden="false" customHeight="true" outlineLevel="0" collapsed="false">
      <c r="A69" s="22" t="s">
        <v>170</v>
      </c>
      <c r="B69" s="23" t="s">
        <v>171</v>
      </c>
      <c r="C69" s="24" t="s">
        <v>161</v>
      </c>
      <c r="D69" s="25"/>
      <c r="E69" s="26"/>
      <c r="F69" s="27"/>
    </row>
    <row r="70" customFormat="false" ht="21.75" hidden="false" customHeight="true" outlineLevel="0" collapsed="false">
      <c r="A70" s="21" t="s">
        <v>172</v>
      </c>
      <c r="B70" s="21"/>
      <c r="C70" s="21"/>
      <c r="D70" s="21"/>
      <c r="E70" s="21"/>
      <c r="F70" s="21"/>
    </row>
    <row r="71" customFormat="false" ht="19.5" hidden="false" customHeight="true" outlineLevel="0" collapsed="false">
      <c r="A71" s="22" t="s">
        <v>173</v>
      </c>
      <c r="B71" s="23" t="s">
        <v>174</v>
      </c>
      <c r="C71" s="24" t="s">
        <v>175</v>
      </c>
      <c r="D71" s="34" t="s">
        <v>43</v>
      </c>
      <c r="E71" s="26"/>
      <c r="F71" s="27"/>
    </row>
    <row r="72" customFormat="false" ht="19.5" hidden="false" customHeight="true" outlineLevel="0" collapsed="false">
      <c r="A72" s="28" t="s">
        <v>176</v>
      </c>
      <c r="B72" s="29" t="s">
        <v>177</v>
      </c>
      <c r="C72" s="30" t="s">
        <v>175</v>
      </c>
      <c r="D72" s="31"/>
      <c r="E72" s="32"/>
      <c r="F72" s="33"/>
    </row>
    <row r="73" customFormat="false" ht="19.5" hidden="false" customHeight="true" outlineLevel="0" collapsed="false">
      <c r="A73" s="22" t="s">
        <v>178</v>
      </c>
      <c r="B73" s="23" t="s">
        <v>179</v>
      </c>
      <c r="C73" s="24" t="s">
        <v>175</v>
      </c>
      <c r="D73" s="25"/>
      <c r="E73" s="26"/>
      <c r="F73" s="27"/>
    </row>
    <row r="74" customFormat="false" ht="19.5" hidden="false" customHeight="true" outlineLevel="0" collapsed="false">
      <c r="A74" s="28" t="s">
        <v>180</v>
      </c>
      <c r="B74" s="29" t="s">
        <v>181</v>
      </c>
      <c r="C74" s="30" t="s">
        <v>175</v>
      </c>
      <c r="D74" s="35" t="s">
        <v>43</v>
      </c>
      <c r="E74" s="32"/>
      <c r="F74" s="33"/>
    </row>
    <row r="75" customFormat="false" ht="19.5" hidden="false" customHeight="true" outlineLevel="0" collapsed="false">
      <c r="A75" s="22" t="s">
        <v>182</v>
      </c>
      <c r="B75" s="23" t="s">
        <v>183</v>
      </c>
      <c r="C75" s="24" t="s">
        <v>175</v>
      </c>
      <c r="D75" s="34" t="s">
        <v>43</v>
      </c>
      <c r="E75" s="26"/>
      <c r="F75" s="27"/>
    </row>
    <row r="76" customFormat="false" ht="19.5" hidden="false" customHeight="true" outlineLevel="0" collapsed="false">
      <c r="A76" s="28" t="s">
        <v>184</v>
      </c>
      <c r="B76" s="29" t="s">
        <v>185</v>
      </c>
      <c r="C76" s="30" t="s">
        <v>175</v>
      </c>
      <c r="D76" s="31"/>
      <c r="E76" s="32"/>
      <c r="F76" s="33"/>
    </row>
    <row r="77" customFormat="false" ht="21.75" hidden="false" customHeight="true" outlineLevel="0" collapsed="false">
      <c r="A77" s="21" t="s">
        <v>186</v>
      </c>
      <c r="B77" s="21"/>
      <c r="C77" s="21"/>
      <c r="D77" s="21"/>
      <c r="E77" s="21"/>
      <c r="F77" s="21"/>
    </row>
    <row r="78" customFormat="false" ht="19.5" hidden="false" customHeight="true" outlineLevel="0" collapsed="false">
      <c r="A78" s="28" t="s">
        <v>187</v>
      </c>
      <c r="B78" s="29" t="s">
        <v>188</v>
      </c>
      <c r="C78" s="30" t="s">
        <v>189</v>
      </c>
      <c r="D78" s="35" t="s">
        <v>43</v>
      </c>
      <c r="E78" s="32"/>
      <c r="F78" s="33"/>
    </row>
    <row r="79" customFormat="false" ht="19.5" hidden="false" customHeight="true" outlineLevel="0" collapsed="false">
      <c r="A79" s="22" t="s">
        <v>190</v>
      </c>
      <c r="B79" s="23" t="s">
        <v>191</v>
      </c>
      <c r="C79" s="24" t="s">
        <v>189</v>
      </c>
      <c r="D79" s="34" t="s">
        <v>43</v>
      </c>
      <c r="E79" s="26"/>
      <c r="F79" s="27"/>
    </row>
    <row r="80" customFormat="false" ht="19.5" hidden="false" customHeight="true" outlineLevel="0" collapsed="false">
      <c r="A80" s="28" t="s">
        <v>192</v>
      </c>
      <c r="B80" s="29" t="s">
        <v>193</v>
      </c>
      <c r="C80" s="30" t="s">
        <v>189</v>
      </c>
      <c r="D80" s="35" t="s">
        <v>43</v>
      </c>
      <c r="E80" s="32"/>
      <c r="F80" s="33"/>
    </row>
    <row r="81" customFormat="false" ht="19.5" hidden="false" customHeight="true" outlineLevel="0" collapsed="false">
      <c r="A81" s="22" t="s">
        <v>194</v>
      </c>
      <c r="B81" s="23" t="s">
        <v>195</v>
      </c>
      <c r="C81" s="24" t="s">
        <v>189</v>
      </c>
      <c r="D81" s="34" t="s">
        <v>43</v>
      </c>
      <c r="E81" s="26"/>
      <c r="F81" s="27"/>
    </row>
    <row r="82" customFormat="false" ht="19.5" hidden="false" customHeight="true" outlineLevel="0" collapsed="false">
      <c r="A82" s="28" t="s">
        <v>196</v>
      </c>
      <c r="B82" s="29" t="s">
        <v>197</v>
      </c>
      <c r="C82" s="30" t="s">
        <v>189</v>
      </c>
      <c r="D82" s="31"/>
      <c r="E82" s="32"/>
      <c r="F82" s="33"/>
    </row>
    <row r="83" customFormat="false" ht="19.5" hidden="false" customHeight="true" outlineLevel="0" collapsed="false">
      <c r="A83" s="22" t="s">
        <v>198</v>
      </c>
      <c r="B83" s="23" t="s">
        <v>199</v>
      </c>
      <c r="C83" s="24" t="s">
        <v>189</v>
      </c>
      <c r="D83" s="25"/>
      <c r="E83" s="26"/>
      <c r="F83" s="27"/>
    </row>
    <row r="84" customFormat="false" ht="19.5" hidden="false" customHeight="true" outlineLevel="0" collapsed="false">
      <c r="A84" s="28" t="s">
        <v>200</v>
      </c>
      <c r="B84" s="29" t="s">
        <v>201</v>
      </c>
      <c r="C84" s="30" t="s">
        <v>189</v>
      </c>
      <c r="D84" s="31"/>
      <c r="E84" s="32"/>
      <c r="F84" s="33"/>
    </row>
    <row r="85" customFormat="false" ht="19.5" hidden="false" customHeight="true" outlineLevel="0" collapsed="false">
      <c r="A85" s="22" t="s">
        <v>202</v>
      </c>
      <c r="B85" s="23" t="s">
        <v>203</v>
      </c>
      <c r="C85" s="24" t="s">
        <v>189</v>
      </c>
      <c r="D85" s="25"/>
      <c r="E85" s="26"/>
      <c r="F85" s="27"/>
    </row>
    <row r="86" customFormat="false" ht="19.5" hidden="false" customHeight="true" outlineLevel="0" collapsed="false">
      <c r="A86" s="28" t="s">
        <v>204</v>
      </c>
      <c r="B86" s="29" t="s">
        <v>205</v>
      </c>
      <c r="C86" s="30" t="s">
        <v>189</v>
      </c>
      <c r="D86" s="31"/>
      <c r="E86" s="32"/>
      <c r="F86" s="33"/>
    </row>
    <row r="87" customFormat="false" ht="19.5" hidden="false" customHeight="true" outlineLevel="0" collapsed="false">
      <c r="A87" s="22" t="s">
        <v>206</v>
      </c>
      <c r="B87" s="23" t="s">
        <v>207</v>
      </c>
      <c r="C87" s="24" t="s">
        <v>189</v>
      </c>
      <c r="D87" s="25"/>
      <c r="E87" s="26"/>
      <c r="F87" s="27"/>
    </row>
    <row r="88" customFormat="false" ht="19.5" hidden="false" customHeight="true" outlineLevel="0" collapsed="false">
      <c r="A88" s="28" t="s">
        <v>208</v>
      </c>
      <c r="B88" s="29" t="s">
        <v>209</v>
      </c>
      <c r="C88" s="30" t="s">
        <v>189</v>
      </c>
      <c r="D88" s="31"/>
      <c r="E88" s="32"/>
      <c r="F88" s="33"/>
    </row>
    <row r="89" customFormat="false" ht="19.5" hidden="false" customHeight="true" outlineLevel="0" collapsed="false">
      <c r="A89" s="22" t="s">
        <v>210</v>
      </c>
      <c r="B89" s="23" t="s">
        <v>211</v>
      </c>
      <c r="C89" s="24" t="s">
        <v>189</v>
      </c>
      <c r="D89" s="34" t="s">
        <v>43</v>
      </c>
      <c r="E89" s="26"/>
      <c r="F89" s="27"/>
    </row>
    <row r="90" customFormat="false" ht="21.75" hidden="false" customHeight="true" outlineLevel="0" collapsed="false">
      <c r="A90" s="21" t="s">
        <v>212</v>
      </c>
      <c r="B90" s="21"/>
      <c r="C90" s="21"/>
      <c r="D90" s="21"/>
      <c r="E90" s="21"/>
      <c r="F90" s="21"/>
    </row>
    <row r="91" customFormat="false" ht="19.5" hidden="false" customHeight="true" outlineLevel="0" collapsed="false">
      <c r="A91" s="22" t="s">
        <v>213</v>
      </c>
      <c r="B91" s="23" t="s">
        <v>214</v>
      </c>
      <c r="C91" s="24" t="s">
        <v>215</v>
      </c>
      <c r="D91" s="25"/>
      <c r="E91" s="26"/>
      <c r="F91" s="27"/>
    </row>
    <row r="92" customFormat="false" ht="19.5" hidden="false" customHeight="true" outlineLevel="0" collapsed="false">
      <c r="A92" s="28" t="s">
        <v>216</v>
      </c>
      <c r="B92" s="29" t="s">
        <v>217</v>
      </c>
      <c r="C92" s="30" t="s">
        <v>215</v>
      </c>
      <c r="D92" s="31"/>
      <c r="E92" s="32"/>
      <c r="F92" s="33"/>
    </row>
    <row r="93" customFormat="false" ht="19.5" hidden="false" customHeight="true" outlineLevel="0" collapsed="false">
      <c r="A93" s="22" t="s">
        <v>218</v>
      </c>
      <c r="B93" s="23" t="s">
        <v>219</v>
      </c>
      <c r="C93" s="24" t="s">
        <v>215</v>
      </c>
      <c r="D93" s="25"/>
      <c r="E93" s="26"/>
      <c r="F93" s="27"/>
    </row>
    <row r="94" customFormat="false" ht="19.5" hidden="false" customHeight="true" outlineLevel="0" collapsed="false">
      <c r="A94" s="28" t="s">
        <v>220</v>
      </c>
      <c r="B94" s="29" t="s">
        <v>221</v>
      </c>
      <c r="C94" s="30" t="s">
        <v>215</v>
      </c>
      <c r="D94" s="31"/>
      <c r="E94" s="32"/>
      <c r="F94" s="33"/>
    </row>
    <row r="95" customFormat="false" ht="21.75" hidden="false" customHeight="true" outlineLevel="0" collapsed="false">
      <c r="A95" s="21" t="s">
        <v>222</v>
      </c>
      <c r="B95" s="21"/>
      <c r="C95" s="21"/>
      <c r="D95" s="21"/>
      <c r="E95" s="21"/>
      <c r="F95" s="21"/>
    </row>
    <row r="96" customFormat="false" ht="19.5" hidden="false" customHeight="true" outlineLevel="0" collapsed="false">
      <c r="A96" s="28" t="s">
        <v>223</v>
      </c>
      <c r="B96" s="29" t="s">
        <v>224</v>
      </c>
      <c r="C96" s="30" t="s">
        <v>225</v>
      </c>
      <c r="D96" s="35" t="s">
        <v>43</v>
      </c>
      <c r="E96" s="32"/>
      <c r="F96" s="33"/>
    </row>
    <row r="97" customFormat="false" ht="19.5" hidden="false" customHeight="true" outlineLevel="0" collapsed="false">
      <c r="A97" s="22" t="s">
        <v>226</v>
      </c>
      <c r="B97" s="23" t="s">
        <v>227</v>
      </c>
      <c r="C97" s="24" t="s">
        <v>225</v>
      </c>
      <c r="D97" s="34" t="s">
        <v>43</v>
      </c>
      <c r="E97" s="26"/>
      <c r="F97" s="27"/>
    </row>
    <row r="98" customFormat="false" ht="19.5" hidden="false" customHeight="true" outlineLevel="0" collapsed="false">
      <c r="A98" s="28" t="s">
        <v>228</v>
      </c>
      <c r="B98" s="29" t="s">
        <v>229</v>
      </c>
      <c r="C98" s="30" t="s">
        <v>225</v>
      </c>
      <c r="D98" s="35" t="s">
        <v>43</v>
      </c>
      <c r="E98" s="32"/>
      <c r="F98" s="33"/>
    </row>
    <row r="99" customFormat="false" ht="19.5" hidden="false" customHeight="true" outlineLevel="0" collapsed="false">
      <c r="A99" s="22" t="s">
        <v>230</v>
      </c>
      <c r="B99" s="23" t="s">
        <v>231</v>
      </c>
      <c r="C99" s="24" t="s">
        <v>225</v>
      </c>
      <c r="D99" s="25"/>
      <c r="E99" s="26"/>
      <c r="F99" s="27"/>
    </row>
    <row r="100" customFormat="false" ht="19.5" hidden="false" customHeight="true" outlineLevel="0" collapsed="false">
      <c r="A100" s="28" t="s">
        <v>232</v>
      </c>
      <c r="B100" s="29" t="s">
        <v>233</v>
      </c>
      <c r="C100" s="30" t="s">
        <v>225</v>
      </c>
      <c r="D100" s="31"/>
      <c r="E100" s="32"/>
      <c r="F100" s="33"/>
    </row>
    <row r="101" customFormat="false" ht="19.5" hidden="false" customHeight="true" outlineLevel="0" collapsed="false">
      <c r="A101" s="22" t="s">
        <v>234</v>
      </c>
      <c r="B101" s="23" t="s">
        <v>235</v>
      </c>
      <c r="C101" s="24" t="s">
        <v>225</v>
      </c>
      <c r="D101" s="25"/>
      <c r="E101" s="26"/>
      <c r="F101" s="27"/>
    </row>
    <row r="102" customFormat="false" ht="19.5" hidden="false" customHeight="true" outlineLevel="0" collapsed="false">
      <c r="A102" s="28" t="s">
        <v>236</v>
      </c>
      <c r="B102" s="29" t="s">
        <v>237</v>
      </c>
      <c r="C102" s="30" t="s">
        <v>225</v>
      </c>
      <c r="D102" s="31"/>
      <c r="E102" s="32"/>
      <c r="F102" s="33"/>
    </row>
    <row r="103" customFormat="false" ht="21.75" hidden="false" customHeight="true" outlineLevel="0" collapsed="false">
      <c r="A103" s="21" t="s">
        <v>238</v>
      </c>
      <c r="B103" s="21"/>
      <c r="C103" s="21"/>
      <c r="D103" s="21"/>
      <c r="E103" s="21"/>
      <c r="F103" s="21"/>
    </row>
    <row r="104" customFormat="false" ht="19.5" hidden="false" customHeight="true" outlineLevel="0" collapsed="false">
      <c r="A104" s="28" t="s">
        <v>239</v>
      </c>
      <c r="B104" s="29" t="s">
        <v>240</v>
      </c>
      <c r="C104" s="30" t="s">
        <v>241</v>
      </c>
      <c r="D104" s="31"/>
      <c r="E104" s="32"/>
      <c r="F104" s="33"/>
    </row>
    <row r="105" customFormat="false" ht="19.5" hidden="false" customHeight="true" outlineLevel="0" collapsed="false">
      <c r="A105" s="22" t="s">
        <v>242</v>
      </c>
      <c r="B105" s="23" t="s">
        <v>243</v>
      </c>
      <c r="C105" s="24" t="s">
        <v>241</v>
      </c>
      <c r="D105" s="25"/>
      <c r="E105" s="26"/>
      <c r="F105" s="27"/>
    </row>
    <row r="106" customFormat="false" ht="19.5" hidden="false" customHeight="true" outlineLevel="0" collapsed="false">
      <c r="A106" s="28" t="s">
        <v>244</v>
      </c>
      <c r="B106" s="29" t="s">
        <v>245</v>
      </c>
      <c r="C106" s="30" t="s">
        <v>241</v>
      </c>
      <c r="D106" s="31"/>
      <c r="E106" s="32"/>
      <c r="F106" s="33"/>
    </row>
    <row r="107" customFormat="false" ht="19.5" hidden="false" customHeight="true" outlineLevel="0" collapsed="false">
      <c r="A107" s="22" t="s">
        <v>246</v>
      </c>
      <c r="B107" s="23" t="s">
        <v>247</v>
      </c>
      <c r="C107" s="24" t="s">
        <v>241</v>
      </c>
      <c r="D107" s="34" t="s">
        <v>43</v>
      </c>
      <c r="E107" s="26"/>
      <c r="F107" s="27"/>
    </row>
    <row r="108" customFormat="false" ht="19.5" hidden="false" customHeight="true" outlineLevel="0" collapsed="false">
      <c r="A108" s="28" t="s">
        <v>248</v>
      </c>
      <c r="B108" s="29" t="s">
        <v>249</v>
      </c>
      <c r="C108" s="30" t="s">
        <v>241</v>
      </c>
      <c r="D108" s="35" t="s">
        <v>43</v>
      </c>
      <c r="E108" s="32"/>
      <c r="F108" s="33"/>
    </row>
    <row r="109" customFormat="false" ht="19.5" hidden="false" customHeight="true" outlineLevel="0" collapsed="false">
      <c r="A109" s="22" t="s">
        <v>250</v>
      </c>
      <c r="B109" s="23" t="s">
        <v>251</v>
      </c>
      <c r="C109" s="24" t="s">
        <v>241</v>
      </c>
      <c r="D109" s="25"/>
      <c r="E109" s="26"/>
      <c r="F109" s="27"/>
    </row>
    <row r="110" customFormat="false" ht="19.5" hidden="false" customHeight="true" outlineLevel="0" collapsed="false">
      <c r="A110" s="28" t="s">
        <v>252</v>
      </c>
      <c r="B110" s="29" t="s">
        <v>253</v>
      </c>
      <c r="C110" s="30" t="s">
        <v>241</v>
      </c>
      <c r="D110" s="31"/>
      <c r="E110" s="32"/>
      <c r="F110" s="33"/>
    </row>
    <row r="111" customFormat="false" ht="21.75" hidden="false" customHeight="true" outlineLevel="0" collapsed="false">
      <c r="A111" s="21" t="s">
        <v>254</v>
      </c>
      <c r="B111" s="21"/>
      <c r="C111" s="21"/>
      <c r="D111" s="21"/>
      <c r="E111" s="21"/>
      <c r="F111" s="21"/>
    </row>
    <row r="112" customFormat="false" ht="19.5" hidden="false" customHeight="true" outlineLevel="0" collapsed="false">
      <c r="A112" s="28" t="s">
        <v>255</v>
      </c>
      <c r="B112" s="29" t="s">
        <v>256</v>
      </c>
      <c r="C112" s="30" t="s">
        <v>257</v>
      </c>
      <c r="D112" s="35" t="s">
        <v>43</v>
      </c>
      <c r="E112" s="32"/>
      <c r="F112" s="33"/>
    </row>
    <row r="113" customFormat="false" ht="19.5" hidden="false" customHeight="true" outlineLevel="0" collapsed="false">
      <c r="A113" s="22" t="s">
        <v>258</v>
      </c>
      <c r="B113" s="23" t="s">
        <v>259</v>
      </c>
      <c r="C113" s="24" t="s">
        <v>257</v>
      </c>
      <c r="D113" s="25"/>
      <c r="E113" s="26"/>
      <c r="F113" s="27"/>
    </row>
    <row r="114" customFormat="false" ht="19.5" hidden="false" customHeight="true" outlineLevel="0" collapsed="false">
      <c r="A114" s="28" t="s">
        <v>260</v>
      </c>
      <c r="B114" s="29" t="s">
        <v>261</v>
      </c>
      <c r="C114" s="30" t="s">
        <v>257</v>
      </c>
      <c r="D114" s="35" t="s">
        <v>43</v>
      </c>
      <c r="E114" s="32"/>
      <c r="F114" s="33"/>
    </row>
    <row r="115" customFormat="false" ht="19.5" hidden="false" customHeight="true" outlineLevel="0" collapsed="false">
      <c r="A115" s="22" t="s">
        <v>262</v>
      </c>
      <c r="B115" s="23" t="s">
        <v>263</v>
      </c>
      <c r="C115" s="24" t="s">
        <v>257</v>
      </c>
      <c r="D115" s="25"/>
      <c r="E115" s="26"/>
      <c r="F115" s="27"/>
    </row>
    <row r="116" customFormat="false" ht="19.5" hidden="false" customHeight="true" outlineLevel="0" collapsed="false">
      <c r="A116" s="28" t="s">
        <v>264</v>
      </c>
      <c r="B116" s="29" t="s">
        <v>265</v>
      </c>
      <c r="C116" s="30" t="s">
        <v>257</v>
      </c>
      <c r="D116" s="31"/>
      <c r="E116" s="32"/>
      <c r="F116" s="33"/>
    </row>
    <row r="117" customFormat="false" ht="19.5" hidden="false" customHeight="true" outlineLevel="0" collapsed="false">
      <c r="A117" s="22" t="s">
        <v>266</v>
      </c>
      <c r="B117" s="23" t="s">
        <v>267</v>
      </c>
      <c r="C117" s="24" t="s">
        <v>257</v>
      </c>
      <c r="D117" s="25"/>
      <c r="E117" s="26"/>
      <c r="F117" s="27"/>
    </row>
    <row r="118" customFormat="false" ht="19.5" hidden="false" customHeight="true" outlineLevel="0" collapsed="false">
      <c r="A118" s="28" t="s">
        <v>268</v>
      </c>
      <c r="B118" s="29" t="s">
        <v>269</v>
      </c>
      <c r="C118" s="30" t="s">
        <v>257</v>
      </c>
      <c r="D118" s="31"/>
      <c r="E118" s="32"/>
      <c r="F118" s="33"/>
    </row>
    <row r="119" customFormat="false" ht="19.5" hidden="false" customHeight="true" outlineLevel="0" collapsed="false">
      <c r="A119" s="22" t="s">
        <v>270</v>
      </c>
      <c r="B119" s="23" t="s">
        <v>271</v>
      </c>
      <c r="C119" s="24" t="s">
        <v>257</v>
      </c>
      <c r="D119" s="25"/>
      <c r="E119" s="26"/>
      <c r="F119" s="27"/>
    </row>
    <row r="120" customFormat="false" ht="21.75" hidden="false" customHeight="true" outlineLevel="0" collapsed="false">
      <c r="A120" s="21" t="s">
        <v>272</v>
      </c>
      <c r="B120" s="21"/>
      <c r="C120" s="21"/>
      <c r="D120" s="21"/>
      <c r="E120" s="21"/>
      <c r="F120" s="21"/>
    </row>
    <row r="121" customFormat="false" ht="19.5" hidden="false" customHeight="true" outlineLevel="0" collapsed="false">
      <c r="A121" s="22" t="s">
        <v>273</v>
      </c>
      <c r="B121" s="23" t="s">
        <v>274</v>
      </c>
      <c r="C121" s="24" t="s">
        <v>275</v>
      </c>
      <c r="D121" s="25"/>
      <c r="E121" s="26"/>
      <c r="F121" s="27"/>
    </row>
    <row r="122" customFormat="false" ht="19.5" hidden="false" customHeight="true" outlineLevel="0" collapsed="false">
      <c r="A122" s="28" t="s">
        <v>276</v>
      </c>
      <c r="B122" s="29" t="s">
        <v>277</v>
      </c>
      <c r="C122" s="30" t="s">
        <v>275</v>
      </c>
      <c r="D122" s="31"/>
      <c r="E122" s="32"/>
      <c r="F122" s="33"/>
    </row>
    <row r="123" customFormat="false" ht="19.5" hidden="false" customHeight="true" outlineLevel="0" collapsed="false">
      <c r="A123" s="22" t="s">
        <v>278</v>
      </c>
      <c r="B123" s="23" t="s">
        <v>279</v>
      </c>
      <c r="C123" s="24" t="s">
        <v>275</v>
      </c>
      <c r="D123" s="25"/>
      <c r="E123" s="26"/>
      <c r="F123" s="27"/>
    </row>
    <row r="124" customFormat="false" ht="19.5" hidden="false" customHeight="true" outlineLevel="0" collapsed="false">
      <c r="A124" s="28" t="s">
        <v>280</v>
      </c>
      <c r="B124" s="29" t="s">
        <v>281</v>
      </c>
      <c r="C124" s="30" t="s">
        <v>275</v>
      </c>
      <c r="D124" s="31"/>
      <c r="E124" s="32"/>
      <c r="F124" s="33"/>
    </row>
    <row r="125" customFormat="false" ht="19.5" hidden="false" customHeight="true" outlineLevel="0" collapsed="false">
      <c r="A125" s="22" t="s">
        <v>282</v>
      </c>
      <c r="B125" s="23" t="s">
        <v>283</v>
      </c>
      <c r="C125" s="24" t="s">
        <v>275</v>
      </c>
      <c r="D125" s="34" t="s">
        <v>43</v>
      </c>
      <c r="E125" s="26"/>
      <c r="F125" s="27"/>
    </row>
    <row r="126" customFormat="false" ht="19.5" hidden="false" customHeight="true" outlineLevel="0" collapsed="false">
      <c r="A126" s="28" t="s">
        <v>284</v>
      </c>
      <c r="B126" s="29" t="s">
        <v>285</v>
      </c>
      <c r="C126" s="30" t="s">
        <v>275</v>
      </c>
      <c r="D126" s="31"/>
      <c r="E126" s="32"/>
      <c r="F126" s="33"/>
    </row>
    <row r="127" customFormat="false" ht="21.75" hidden="false" customHeight="true" outlineLevel="0" collapsed="false">
      <c r="A127" s="21" t="s">
        <v>286</v>
      </c>
      <c r="B127" s="21"/>
      <c r="C127" s="21"/>
      <c r="D127" s="21"/>
      <c r="E127" s="21"/>
      <c r="F127" s="21"/>
    </row>
    <row r="128" customFormat="false" ht="19.5" hidden="false" customHeight="true" outlineLevel="0" collapsed="false">
      <c r="A128" s="28" t="s">
        <v>287</v>
      </c>
      <c r="B128" s="29" t="s">
        <v>288</v>
      </c>
      <c r="C128" s="30" t="s">
        <v>289</v>
      </c>
      <c r="D128" s="35" t="s">
        <v>43</v>
      </c>
      <c r="E128" s="32"/>
      <c r="F128" s="33"/>
    </row>
    <row r="129" customFormat="false" ht="19.5" hidden="false" customHeight="true" outlineLevel="0" collapsed="false">
      <c r="A129" s="22" t="s">
        <v>290</v>
      </c>
      <c r="B129" s="23" t="s">
        <v>291</v>
      </c>
      <c r="C129" s="24" t="s">
        <v>289</v>
      </c>
      <c r="D129" s="34" t="s">
        <v>43</v>
      </c>
      <c r="E129" s="26"/>
      <c r="F129" s="27"/>
    </row>
    <row r="130" customFormat="false" ht="19.5" hidden="false" customHeight="true" outlineLevel="0" collapsed="false">
      <c r="A130" s="28" t="s">
        <v>292</v>
      </c>
      <c r="B130" s="29" t="s">
        <v>293</v>
      </c>
      <c r="C130" s="30" t="s">
        <v>289</v>
      </c>
      <c r="D130" s="35" t="s">
        <v>43</v>
      </c>
      <c r="E130" s="32"/>
      <c r="F130" s="33"/>
    </row>
    <row r="131" customFormat="false" ht="19.5" hidden="false" customHeight="true" outlineLevel="0" collapsed="false">
      <c r="A131" s="22" t="s">
        <v>294</v>
      </c>
      <c r="B131" s="23" t="s">
        <v>295</v>
      </c>
      <c r="C131" s="24" t="s">
        <v>289</v>
      </c>
      <c r="D131" s="25"/>
      <c r="E131" s="26"/>
      <c r="F131" s="27"/>
    </row>
    <row r="132" customFormat="false" ht="19.5" hidden="false" customHeight="true" outlineLevel="0" collapsed="false">
      <c r="A132" s="28" t="s">
        <v>296</v>
      </c>
      <c r="B132" s="29" t="s">
        <v>297</v>
      </c>
      <c r="C132" s="30" t="s">
        <v>289</v>
      </c>
      <c r="D132" s="31"/>
      <c r="E132" s="32"/>
      <c r="F132" s="33"/>
    </row>
    <row r="133" customFormat="false" ht="19.5" hidden="false" customHeight="true" outlineLevel="0" collapsed="false">
      <c r="A133" s="22" t="s">
        <v>298</v>
      </c>
      <c r="B133" s="23" t="s">
        <v>299</v>
      </c>
      <c r="C133" s="24" t="s">
        <v>289</v>
      </c>
      <c r="D133" s="25"/>
      <c r="E133" s="26"/>
      <c r="F133" s="27"/>
    </row>
    <row r="134" customFormat="false" ht="19.5" hidden="false" customHeight="true" outlineLevel="0" collapsed="false">
      <c r="A134" s="28" t="s">
        <v>300</v>
      </c>
      <c r="B134" s="29" t="s">
        <v>301</v>
      </c>
      <c r="C134" s="30" t="s">
        <v>289</v>
      </c>
      <c r="D134" s="31"/>
      <c r="E134" s="32"/>
      <c r="F134" s="33"/>
    </row>
    <row r="135" customFormat="false" ht="21.75" hidden="false" customHeight="true" outlineLevel="0" collapsed="false">
      <c r="A135" s="21" t="s">
        <v>302</v>
      </c>
      <c r="B135" s="21"/>
      <c r="C135" s="21"/>
      <c r="D135" s="21"/>
      <c r="E135" s="21"/>
      <c r="F135" s="21"/>
    </row>
    <row r="136" customFormat="false" ht="19.5" hidden="false" customHeight="true" outlineLevel="0" collapsed="false">
      <c r="A136" s="28" t="s">
        <v>303</v>
      </c>
      <c r="B136" s="29" t="s">
        <v>304</v>
      </c>
      <c r="C136" s="30" t="s">
        <v>305</v>
      </c>
      <c r="D136" s="31"/>
      <c r="E136" s="32"/>
      <c r="F136" s="33"/>
    </row>
    <row r="137" customFormat="false" ht="19.5" hidden="false" customHeight="true" outlineLevel="0" collapsed="false">
      <c r="A137" s="22" t="s">
        <v>306</v>
      </c>
      <c r="B137" s="23" t="s">
        <v>307</v>
      </c>
      <c r="C137" s="24" t="s">
        <v>305</v>
      </c>
      <c r="D137" s="25"/>
      <c r="E137" s="26"/>
      <c r="F137" s="27"/>
    </row>
    <row r="138" customFormat="false" ht="19.5" hidden="false" customHeight="true" outlineLevel="0" collapsed="false">
      <c r="A138" s="28" t="s">
        <v>308</v>
      </c>
      <c r="B138" s="29" t="s">
        <v>309</v>
      </c>
      <c r="C138" s="30" t="s">
        <v>305</v>
      </c>
      <c r="D138" s="31"/>
      <c r="E138" s="32"/>
      <c r="F138" s="33"/>
    </row>
    <row r="139" customFormat="false" ht="19.5" hidden="false" customHeight="true" outlineLevel="0" collapsed="false">
      <c r="A139" s="22" t="s">
        <v>310</v>
      </c>
      <c r="B139" s="23" t="s">
        <v>311</v>
      </c>
      <c r="C139" s="24" t="s">
        <v>305</v>
      </c>
      <c r="D139" s="34" t="s">
        <v>43</v>
      </c>
      <c r="E139" s="26"/>
      <c r="F139" s="27"/>
    </row>
    <row r="140" customFormat="false" ht="21.75" hidden="false" customHeight="true" outlineLevel="0" collapsed="false">
      <c r="A140" s="21" t="s">
        <v>312</v>
      </c>
      <c r="B140" s="21"/>
      <c r="C140" s="21"/>
      <c r="D140" s="21"/>
      <c r="E140" s="21"/>
      <c r="F140" s="21"/>
    </row>
    <row r="141" customFormat="false" ht="19.5" hidden="false" customHeight="true" outlineLevel="0" collapsed="false">
      <c r="A141" s="22" t="s">
        <v>313</v>
      </c>
      <c r="B141" s="23" t="s">
        <v>314</v>
      </c>
      <c r="C141" s="24" t="s">
        <v>315</v>
      </c>
      <c r="D141" s="34" t="s">
        <v>43</v>
      </c>
      <c r="E141" s="26"/>
      <c r="F141" s="27"/>
    </row>
    <row r="142" customFormat="false" ht="19.5" hidden="false" customHeight="true" outlineLevel="0" collapsed="false">
      <c r="A142" s="28" t="s">
        <v>316</v>
      </c>
      <c r="B142" s="29" t="s">
        <v>317</v>
      </c>
      <c r="C142" s="30" t="s">
        <v>315</v>
      </c>
      <c r="D142" s="31"/>
      <c r="E142" s="32"/>
      <c r="F142" s="33"/>
    </row>
    <row r="143" customFormat="false" ht="19.5" hidden="false" customHeight="true" outlineLevel="0" collapsed="false">
      <c r="A143" s="22" t="s">
        <v>318</v>
      </c>
      <c r="B143" s="23" t="s">
        <v>319</v>
      </c>
      <c r="C143" s="24" t="s">
        <v>315</v>
      </c>
      <c r="D143" s="25"/>
      <c r="E143" s="26"/>
      <c r="F143" s="27"/>
    </row>
    <row r="144" customFormat="false" ht="19.5" hidden="false" customHeight="true" outlineLevel="0" collapsed="false">
      <c r="A144" s="28" t="s">
        <v>320</v>
      </c>
      <c r="B144" s="29" t="s">
        <v>321</v>
      </c>
      <c r="C144" s="30" t="s">
        <v>315</v>
      </c>
      <c r="D144" s="31"/>
      <c r="E144" s="32"/>
      <c r="F144" s="33"/>
    </row>
    <row r="145" customFormat="false" ht="19.5" hidden="false" customHeight="true" outlineLevel="0" collapsed="false">
      <c r="A145" s="22" t="s">
        <v>322</v>
      </c>
      <c r="B145" s="23" t="s">
        <v>323</v>
      </c>
      <c r="C145" s="24" t="s">
        <v>315</v>
      </c>
      <c r="D145" s="25"/>
      <c r="E145" s="26"/>
      <c r="F145" s="27"/>
    </row>
    <row r="146" customFormat="false" ht="19.5" hidden="false" customHeight="true" outlineLevel="0" collapsed="false">
      <c r="A146" s="28" t="s">
        <v>324</v>
      </c>
      <c r="B146" s="29" t="s">
        <v>325</v>
      </c>
      <c r="C146" s="30" t="s">
        <v>315</v>
      </c>
      <c r="D146" s="31"/>
      <c r="E146" s="32"/>
      <c r="F146" s="33"/>
    </row>
    <row r="147" customFormat="false" ht="19.5" hidden="false" customHeight="true" outlineLevel="0" collapsed="false">
      <c r="A147" s="22" t="s">
        <v>326</v>
      </c>
      <c r="B147" s="23" t="s">
        <v>327</v>
      </c>
      <c r="C147" s="24" t="s">
        <v>315</v>
      </c>
      <c r="D147" s="25"/>
      <c r="E147" s="26"/>
      <c r="F147" s="27"/>
    </row>
  </sheetData>
  <mergeCells count="17">
    <mergeCell ref="A2:F2"/>
    <mergeCell ref="A13:F13"/>
    <mergeCell ref="A26:F26"/>
    <mergeCell ref="A34:F34"/>
    <mergeCell ref="A43:F43"/>
    <mergeCell ref="A50:F50"/>
    <mergeCell ref="A63:F63"/>
    <mergeCell ref="A70:F70"/>
    <mergeCell ref="A77:F77"/>
    <mergeCell ref="A90:F90"/>
    <mergeCell ref="A95:F95"/>
    <mergeCell ref="A103:F103"/>
    <mergeCell ref="A111:F111"/>
    <mergeCell ref="A120:F120"/>
    <mergeCell ref="A127:F127"/>
    <mergeCell ref="A135:F135"/>
    <mergeCell ref="A140:F140"/>
  </mergeCells>
  <conditionalFormatting sqref="E2:E147">
    <cfRule type="cellIs" priority="2" operator="equal" aboveAverage="0" equalAverage="0" bottom="0" percent="0" rank="0" text="" dxfId="0">
      <formula>"כן"</formula>
    </cfRule>
    <cfRule type="cellIs" priority="3" operator="equal" aboveAverage="0" equalAverage="0" bottom="0" percent="0" rank="0" text="" dxfId="1">
      <formula>"לא"</formula>
    </cfRule>
    <cfRule type="cellIs" priority="4" operator="equal" aboveAverage="0" equalAverage="0" bottom="0" percent="0" rank="0" text="" dxfId="2">
      <formula>"לא רלוונטי"</formula>
    </cfRule>
  </conditionalFormatting>
  <dataValidations count="1">
    <dataValidation allowBlank="false" errorStyle="stop" operator="between" showDropDown="false" showErrorMessage="false" showInputMessage="false" sqref="E3:E12 E14:E25 E27:E33 E35:E42 E44:E49 E51:E62 E64:E69 E71:E76 E78:E89 E91:E94 E96:E102 E104:E110 E112:E119 E121:E126 E128:E134 E136:E139 E141:E147" type="list">
      <formula1>"כן,לא,לא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8" min="7" style="1" width="16"/>
  </cols>
  <sheetData>
    <row r="1" customFormat="false" ht="49.5" hidden="false" customHeight="true" outlineLevel="0" collapsed="false">
      <c r="A1" s="36" t="s">
        <v>328</v>
      </c>
      <c r="B1" s="36"/>
      <c r="C1" s="36"/>
      <c r="D1" s="36"/>
      <c r="E1" s="36"/>
      <c r="F1" s="36"/>
      <c r="G1" s="36"/>
      <c r="H1" s="36"/>
    </row>
    <row r="2" customFormat="false" ht="30" hidden="false" customHeight="true" outlineLevel="0" collapsed="false">
      <c r="A2" s="37" t="s">
        <v>329</v>
      </c>
      <c r="B2" s="37" t="s">
        <v>330</v>
      </c>
      <c r="C2" s="37" t="s">
        <v>331</v>
      </c>
      <c r="D2" s="37" t="s">
        <v>332</v>
      </c>
      <c r="E2" s="37" t="s">
        <v>333</v>
      </c>
      <c r="F2" s="37" t="s">
        <v>334</v>
      </c>
      <c r="G2" s="37" t="s">
        <v>335</v>
      </c>
      <c r="H2" s="37" t="s">
        <v>336</v>
      </c>
    </row>
    <row r="3" customFormat="false" ht="21.75" hidden="false" customHeight="true" outlineLevel="0" collapsed="false">
      <c r="A3" s="38" t="s">
        <v>337</v>
      </c>
      <c r="B3" s="23" t="s">
        <v>38</v>
      </c>
      <c r="C3" s="39" t="n">
        <v>6</v>
      </c>
      <c r="D3" s="40" t="n">
        <f aca="false">COUNTIF('שאלון CAIQ'!E3:E12,"כן")</f>
        <v>0</v>
      </c>
      <c r="E3" s="40" t="n">
        <f aca="false">COUNTIF('שאלון CAIQ'!E3:E12,"לא")</f>
        <v>0</v>
      </c>
      <c r="F3" s="40" t="n">
        <f aca="false">COUNTA('שאלון CAIQ'!E3:E12)-COUNTIF('שאלון CAIQ'!E3:E12,"לא רלוונטי")</f>
        <v>0</v>
      </c>
      <c r="G3" s="39" t="n">
        <f aca="false">IF(F3=0,0,D3/F3)</f>
        <v>0</v>
      </c>
      <c r="H3" s="41" t="n">
        <f aca="false">G3*C3/100</f>
        <v>0</v>
      </c>
    </row>
    <row r="4" customFormat="false" ht="21.75" hidden="false" customHeight="true" outlineLevel="0" collapsed="false">
      <c r="A4" s="42" t="s">
        <v>338</v>
      </c>
      <c r="B4" s="29" t="s">
        <v>61</v>
      </c>
      <c r="C4" s="43" t="n">
        <v>7</v>
      </c>
      <c r="D4" s="44" t="n">
        <f aca="false">COUNTIF('שאלון CAIQ'!E14:E25,"כן")</f>
        <v>0</v>
      </c>
      <c r="E4" s="44" t="n">
        <f aca="false">COUNTIF('שאלון CAIQ'!E14:E25,"לא")</f>
        <v>0</v>
      </c>
      <c r="F4" s="44" t="n">
        <f aca="false">COUNTA('שאלון CAIQ'!E14:E25)-COUNTIF('שאלון CAIQ'!E14:E25,"לא רלוונטי")</f>
        <v>0</v>
      </c>
      <c r="G4" s="43" t="n">
        <f aca="false">IF(F4=0,0,D4/F4)</f>
        <v>0</v>
      </c>
      <c r="H4" s="45" t="n">
        <f aca="false">G4*C4/100</f>
        <v>0</v>
      </c>
    </row>
    <row r="5" customFormat="false" ht="21.75" hidden="false" customHeight="true" outlineLevel="0" collapsed="false">
      <c r="A5" s="38" t="s">
        <v>339</v>
      </c>
      <c r="B5" s="23" t="s">
        <v>87</v>
      </c>
      <c r="C5" s="39" t="n">
        <v>5</v>
      </c>
      <c r="D5" s="40" t="n">
        <f aca="false">COUNTIF('שאלון CAIQ'!E27:E33,"כן")</f>
        <v>0</v>
      </c>
      <c r="E5" s="40" t="n">
        <f aca="false">COUNTIF('שאלון CAIQ'!E27:E33,"לא")</f>
        <v>0</v>
      </c>
      <c r="F5" s="40" t="n">
        <f aca="false">COUNTA('שאלון CAIQ'!E27:E33)-COUNTIF('שאלון CAIQ'!E27:E33,"לא רלוונטי")</f>
        <v>0</v>
      </c>
      <c r="G5" s="39" t="n">
        <f aca="false">IF(F5=0,0,D5/F5)</f>
        <v>0</v>
      </c>
      <c r="H5" s="41" t="n">
        <f aca="false">G5*C5/100</f>
        <v>0</v>
      </c>
    </row>
    <row r="6" customFormat="false" ht="21.75" hidden="false" customHeight="true" outlineLevel="0" collapsed="false">
      <c r="A6" s="42" t="s">
        <v>340</v>
      </c>
      <c r="B6" s="29" t="s">
        <v>103</v>
      </c>
      <c r="C6" s="43" t="n">
        <v>8</v>
      </c>
      <c r="D6" s="44" t="n">
        <f aca="false">COUNTIF('שאלון CAIQ'!E35:E42,"כן")</f>
        <v>0</v>
      </c>
      <c r="E6" s="44" t="n">
        <f aca="false">COUNTIF('שאלון CAIQ'!E35:E42,"לא")</f>
        <v>0</v>
      </c>
      <c r="F6" s="44" t="n">
        <f aca="false">COUNTA('שאלון CAIQ'!E35:E42)-COUNTIF('שאלון CAIQ'!E35:E42,"לא רלוונטי")</f>
        <v>0</v>
      </c>
      <c r="G6" s="43" t="n">
        <f aca="false">IF(F6=0,0,D6/F6)</f>
        <v>0</v>
      </c>
      <c r="H6" s="45" t="n">
        <f aca="false">G6*C6/100</f>
        <v>0</v>
      </c>
    </row>
    <row r="7" customFormat="false" ht="21.75" hidden="false" customHeight="true" outlineLevel="0" collapsed="false">
      <c r="A7" s="38" t="s">
        <v>341</v>
      </c>
      <c r="B7" s="23" t="s">
        <v>121</v>
      </c>
      <c r="C7" s="39" t="n">
        <v>5</v>
      </c>
      <c r="D7" s="40" t="n">
        <f aca="false">COUNTIF('שאלון CAIQ'!E44:E49,"כן")</f>
        <v>0</v>
      </c>
      <c r="E7" s="40" t="n">
        <f aca="false">COUNTIF('שאלון CAIQ'!E44:E49,"לא")</f>
        <v>0</v>
      </c>
      <c r="F7" s="40" t="n">
        <f aca="false">COUNTA('שאלון CAIQ'!E44:E49)-COUNTIF('שאלון CAIQ'!E44:E49,"לא רלוונטי")</f>
        <v>0</v>
      </c>
      <c r="G7" s="39" t="n">
        <f aca="false">IF(F7=0,0,D7/F7)</f>
        <v>0</v>
      </c>
      <c r="H7" s="41" t="n">
        <f aca="false">G7*C7/100</f>
        <v>0</v>
      </c>
    </row>
    <row r="8" customFormat="false" ht="21.75" hidden="false" customHeight="true" outlineLevel="0" collapsed="false">
      <c r="A8" s="42" t="s">
        <v>342</v>
      </c>
      <c r="B8" s="29" t="s">
        <v>135</v>
      </c>
      <c r="C8" s="43" t="n">
        <v>10</v>
      </c>
      <c r="D8" s="44" t="n">
        <f aca="false">COUNTIF('שאלון CAIQ'!E51:E62,"כן")</f>
        <v>0</v>
      </c>
      <c r="E8" s="44" t="n">
        <f aca="false">COUNTIF('שאלון CAIQ'!E51:E62,"לא")</f>
        <v>0</v>
      </c>
      <c r="F8" s="44" t="n">
        <f aca="false">COUNTA('שאלון CAIQ'!E51:E62)-COUNTIF('שאלון CAIQ'!E51:E62,"לא רלוונטי")</f>
        <v>0</v>
      </c>
      <c r="G8" s="43" t="n">
        <f aca="false">IF(F8=0,0,D8/F8)</f>
        <v>0</v>
      </c>
      <c r="H8" s="45" t="n">
        <f aca="false">G8*C8/100</f>
        <v>0</v>
      </c>
    </row>
    <row r="9" customFormat="false" ht="21.75" hidden="false" customHeight="true" outlineLevel="0" collapsed="false">
      <c r="A9" s="38" t="s">
        <v>343</v>
      </c>
      <c r="B9" s="23" t="s">
        <v>161</v>
      </c>
      <c r="C9" s="39" t="n">
        <v>5</v>
      </c>
      <c r="D9" s="40" t="n">
        <f aca="false">COUNTIF('שאלון CAIQ'!E64:E69,"כן")</f>
        <v>0</v>
      </c>
      <c r="E9" s="40" t="n">
        <f aca="false">COUNTIF('שאלון CAIQ'!E64:E69,"לא")</f>
        <v>0</v>
      </c>
      <c r="F9" s="40" t="n">
        <f aca="false">COUNTA('שאלון CAIQ'!E64:E69)-COUNTIF('שאלון CAIQ'!E64:E69,"לא רלוונטי")</f>
        <v>0</v>
      </c>
      <c r="G9" s="39" t="n">
        <f aca="false">IF(F9=0,0,D9/F9)</f>
        <v>0</v>
      </c>
      <c r="H9" s="41" t="n">
        <f aca="false">G9*C9/100</f>
        <v>0</v>
      </c>
    </row>
    <row r="10" customFormat="false" ht="21.75" hidden="false" customHeight="true" outlineLevel="0" collapsed="false">
      <c r="A10" s="42" t="s">
        <v>344</v>
      </c>
      <c r="B10" s="29" t="s">
        <v>175</v>
      </c>
      <c r="C10" s="43" t="n">
        <v>4</v>
      </c>
      <c r="D10" s="44" t="n">
        <f aca="false">COUNTIF('שאלון CAIQ'!E71:E76,"כן")</f>
        <v>0</v>
      </c>
      <c r="E10" s="44" t="n">
        <f aca="false">COUNTIF('שאלון CAIQ'!E71:E76,"לא")</f>
        <v>0</v>
      </c>
      <c r="F10" s="44" t="n">
        <f aca="false">COUNTA('שאלון CAIQ'!E71:E76)-COUNTIF('שאלון CAIQ'!E71:E76,"לא רלוונטי")</f>
        <v>0</v>
      </c>
      <c r="G10" s="43" t="n">
        <f aca="false">IF(F10=0,0,D10/F10)</f>
        <v>0</v>
      </c>
      <c r="H10" s="45" t="n">
        <f aca="false">G10*C10/100</f>
        <v>0</v>
      </c>
    </row>
    <row r="11" customFormat="false" ht="21.75" hidden="false" customHeight="true" outlineLevel="0" collapsed="false">
      <c r="A11" s="38" t="s">
        <v>345</v>
      </c>
      <c r="B11" s="23" t="s">
        <v>189</v>
      </c>
      <c r="C11" s="39" t="n">
        <v>12</v>
      </c>
      <c r="D11" s="40" t="n">
        <f aca="false">COUNTIF('שאלון CAIQ'!E78:E89,"כן")</f>
        <v>0</v>
      </c>
      <c r="E11" s="40" t="n">
        <f aca="false">COUNTIF('שאלון CAIQ'!E78:E89,"לא")</f>
        <v>0</v>
      </c>
      <c r="F11" s="40" t="n">
        <f aca="false">COUNTA('שאלון CAIQ'!E78:E89)-COUNTIF('שאלון CAIQ'!E78:E89,"לא רלוונטי")</f>
        <v>0</v>
      </c>
      <c r="G11" s="39" t="n">
        <f aca="false">IF(F11=0,0,D11/F11)</f>
        <v>0</v>
      </c>
      <c r="H11" s="41" t="n">
        <f aca="false">G11*C11/100</f>
        <v>0</v>
      </c>
    </row>
    <row r="12" customFormat="false" ht="21.75" hidden="false" customHeight="true" outlineLevel="0" collapsed="false">
      <c r="A12" s="42" t="s">
        <v>346</v>
      </c>
      <c r="B12" s="29" t="s">
        <v>215</v>
      </c>
      <c r="C12" s="43" t="n">
        <v>3</v>
      </c>
      <c r="D12" s="44" t="n">
        <f aca="false">COUNTIF('שאלון CAIQ'!E91:E94,"כן")</f>
        <v>0</v>
      </c>
      <c r="E12" s="44" t="n">
        <f aca="false">COUNTIF('שאלון CAIQ'!E91:E94,"לא")</f>
        <v>0</v>
      </c>
      <c r="F12" s="44" t="n">
        <f aca="false">COUNTA('שאלון CAIQ'!E91:E94)-COUNTIF('שאלון CAIQ'!E91:E94,"לא רלוונטי")</f>
        <v>0</v>
      </c>
      <c r="G12" s="43" t="n">
        <f aca="false">IF(F12=0,0,D12/F12)</f>
        <v>0</v>
      </c>
      <c r="H12" s="45" t="n">
        <f aca="false">G12*C12/100</f>
        <v>0</v>
      </c>
    </row>
    <row r="13" customFormat="false" ht="21.75" hidden="false" customHeight="true" outlineLevel="0" collapsed="false">
      <c r="A13" s="38" t="s">
        <v>347</v>
      </c>
      <c r="B13" s="23" t="s">
        <v>225</v>
      </c>
      <c r="C13" s="39" t="n">
        <v>7</v>
      </c>
      <c r="D13" s="40" t="n">
        <f aca="false">COUNTIF('שאלון CAIQ'!E96:E102,"כן")</f>
        <v>0</v>
      </c>
      <c r="E13" s="40" t="n">
        <f aca="false">COUNTIF('שאלון CAIQ'!E96:E102,"לא")</f>
        <v>0</v>
      </c>
      <c r="F13" s="40" t="n">
        <f aca="false">COUNTA('שאלון CAIQ'!E96:E102)-COUNTIF('שאלון CAIQ'!E96:E102,"לא רלוונטי")</f>
        <v>0</v>
      </c>
      <c r="G13" s="39" t="n">
        <f aca="false">IF(F13=0,0,D13/F13)</f>
        <v>0</v>
      </c>
      <c r="H13" s="41" t="n">
        <f aca="false">G13*C13/100</f>
        <v>0</v>
      </c>
    </row>
    <row r="14" customFormat="false" ht="21.75" hidden="false" customHeight="true" outlineLevel="0" collapsed="false">
      <c r="A14" s="42" t="s">
        <v>348</v>
      </c>
      <c r="B14" s="29" t="s">
        <v>241</v>
      </c>
      <c r="C14" s="43" t="n">
        <v>6</v>
      </c>
      <c r="D14" s="44" t="n">
        <f aca="false">COUNTIF('שאלון CAIQ'!E104:E110,"כן")</f>
        <v>0</v>
      </c>
      <c r="E14" s="44" t="n">
        <f aca="false">COUNTIF('שאלון CAIQ'!E104:E110,"לא")</f>
        <v>0</v>
      </c>
      <c r="F14" s="44" t="n">
        <f aca="false">COUNTA('שאלון CAIQ'!E104:E110)-COUNTIF('שאלון CAIQ'!E104:E110,"לא רלוונטי")</f>
        <v>0</v>
      </c>
      <c r="G14" s="43" t="n">
        <f aca="false">IF(F14=0,0,D14/F14)</f>
        <v>0</v>
      </c>
      <c r="H14" s="45" t="n">
        <f aca="false">G14*C14/100</f>
        <v>0</v>
      </c>
    </row>
    <row r="15" customFormat="false" ht="21.75" hidden="false" customHeight="true" outlineLevel="0" collapsed="false">
      <c r="A15" s="38" t="s">
        <v>349</v>
      </c>
      <c r="B15" s="23" t="s">
        <v>257</v>
      </c>
      <c r="C15" s="39" t="n">
        <v>8</v>
      </c>
      <c r="D15" s="40" t="n">
        <f aca="false">COUNTIF('שאלון CAIQ'!E112:E119,"כן")</f>
        <v>0</v>
      </c>
      <c r="E15" s="40" t="n">
        <f aca="false">COUNTIF('שאלון CAIQ'!E112:E119,"לא")</f>
        <v>0</v>
      </c>
      <c r="F15" s="40" t="n">
        <f aca="false">COUNTA('שאלון CAIQ'!E112:E119)-COUNTIF('שאלון CAIQ'!E112:E119,"לא רלוונטי")</f>
        <v>0</v>
      </c>
      <c r="G15" s="39" t="n">
        <f aca="false">IF(F15=0,0,D15/F15)</f>
        <v>0</v>
      </c>
      <c r="H15" s="41" t="n">
        <f aca="false">G15*C15/100</f>
        <v>0</v>
      </c>
    </row>
    <row r="16" customFormat="false" ht="21.75" hidden="false" customHeight="true" outlineLevel="0" collapsed="false">
      <c r="A16" s="42" t="s">
        <v>350</v>
      </c>
      <c r="B16" s="29" t="s">
        <v>275</v>
      </c>
      <c r="C16" s="43" t="n">
        <v>6</v>
      </c>
      <c r="D16" s="44" t="n">
        <f aca="false">COUNTIF('שאלון CAIQ'!E121:E126,"כן")</f>
        <v>0</v>
      </c>
      <c r="E16" s="44" t="n">
        <f aca="false">COUNTIF('שאלון CAIQ'!E121:E126,"לא")</f>
        <v>0</v>
      </c>
      <c r="F16" s="44" t="n">
        <f aca="false">COUNTA('שאלון CAIQ'!E121:E126)-COUNTIF('שאלון CAIQ'!E121:E126,"לא רלוונטי")</f>
        <v>0</v>
      </c>
      <c r="G16" s="43" t="n">
        <f aca="false">IF(F16=0,0,D16/F16)</f>
        <v>0</v>
      </c>
      <c r="H16" s="45" t="n">
        <f aca="false">G16*C16/100</f>
        <v>0</v>
      </c>
    </row>
    <row r="17" customFormat="false" ht="21.75" hidden="false" customHeight="true" outlineLevel="0" collapsed="false">
      <c r="A17" s="38" t="s">
        <v>351</v>
      </c>
      <c r="B17" s="23" t="s">
        <v>289</v>
      </c>
      <c r="C17" s="39" t="n">
        <v>7</v>
      </c>
      <c r="D17" s="40" t="n">
        <f aca="false">COUNTIF('שאלון CAIQ'!E128:E134,"כן")</f>
        <v>0</v>
      </c>
      <c r="E17" s="40" t="n">
        <f aca="false">COUNTIF('שאלון CAIQ'!E128:E134,"לא")</f>
        <v>0</v>
      </c>
      <c r="F17" s="40" t="n">
        <f aca="false">COUNTA('שאלון CAIQ'!E128:E134)-COUNTIF('שאלון CAIQ'!E128:E134,"לא רלוונטי")</f>
        <v>0</v>
      </c>
      <c r="G17" s="39" t="n">
        <f aca="false">IF(F17=0,0,D17/F17)</f>
        <v>0</v>
      </c>
      <c r="H17" s="41" t="n">
        <f aca="false">G17*C17/100</f>
        <v>0</v>
      </c>
    </row>
    <row r="18" customFormat="false" ht="21.75" hidden="false" customHeight="true" outlineLevel="0" collapsed="false">
      <c r="A18" s="42" t="s">
        <v>352</v>
      </c>
      <c r="B18" s="29" t="s">
        <v>305</v>
      </c>
      <c r="C18" s="43" t="n">
        <v>4</v>
      </c>
      <c r="D18" s="44" t="n">
        <f aca="false">COUNTIF('שאלון CAIQ'!E136:E139,"כן")</f>
        <v>0</v>
      </c>
      <c r="E18" s="44" t="n">
        <f aca="false">COUNTIF('שאלון CAIQ'!E136:E139,"לא")</f>
        <v>0</v>
      </c>
      <c r="F18" s="44" t="n">
        <f aca="false">COUNTA('שאלון CAIQ'!E136:E139)-COUNTIF('שאלון CAIQ'!E136:E139,"לא רלוונטי")</f>
        <v>0</v>
      </c>
      <c r="G18" s="43" t="n">
        <f aca="false">IF(F18=0,0,D18/F18)</f>
        <v>0</v>
      </c>
      <c r="H18" s="45" t="n">
        <f aca="false">G18*C18/100</f>
        <v>0</v>
      </c>
    </row>
    <row r="19" customFormat="false" ht="21.75" hidden="false" customHeight="true" outlineLevel="0" collapsed="false">
      <c r="A19" s="38" t="s">
        <v>353</v>
      </c>
      <c r="B19" s="23" t="s">
        <v>315</v>
      </c>
      <c r="C19" s="39" t="n">
        <v>7</v>
      </c>
      <c r="D19" s="40" t="n">
        <f aca="false">COUNTIF('שאלון CAIQ'!E141:E147,"כן")</f>
        <v>0</v>
      </c>
      <c r="E19" s="40" t="n">
        <f aca="false">COUNTIF('שאלון CAIQ'!E141:E147,"לא")</f>
        <v>0</v>
      </c>
      <c r="F19" s="40" t="n">
        <f aca="false">COUNTA('שאלון CAIQ'!E141:E147)-COUNTIF('שאלון CAIQ'!E141:E147,"לא רלוונטי")</f>
        <v>0</v>
      </c>
      <c r="G19" s="39" t="n">
        <f aca="false">IF(F19=0,0,D19/F19)</f>
        <v>0</v>
      </c>
      <c r="H19" s="41" t="n">
        <f aca="false">G19*C19/100</f>
        <v>0</v>
      </c>
    </row>
    <row r="20" customFormat="false" ht="27.75" hidden="false" customHeight="true" outlineLevel="0" collapsed="false">
      <c r="A20" s="46" t="s">
        <v>354</v>
      </c>
      <c r="B20" s="46"/>
      <c r="C20" s="47" t="n">
        <f aca="false">SUM(C3:C19)</f>
        <v>110</v>
      </c>
      <c r="D20" s="48" t="n">
        <f aca="false">SUM(D3:D19)</f>
        <v>0</v>
      </c>
      <c r="E20" s="48" t="n">
        <f aca="false">SUM(E3:E19)</f>
        <v>0</v>
      </c>
      <c r="F20" s="48" t="n">
        <f aca="false">SUM(F3:F19)</f>
        <v>0</v>
      </c>
      <c r="G20" s="47" t="n">
        <f aca="false">IF(F20=0,0,D20/F20)</f>
        <v>0</v>
      </c>
      <c r="H20" s="49" t="n">
        <f aca="false">SUM(H3:H19)</f>
        <v>0</v>
      </c>
    </row>
  </sheetData>
  <mergeCells count="2">
    <mergeCell ref="A1:H1"/>
    <mergeCell ref="A20:B20"/>
  </mergeCells>
  <conditionalFormatting sqref="G3:G19">
    <cfRule type="colorScale" priority="2">
      <colorScale>
        <cfvo type="num" val="0"/>
        <cfvo type="num" val="0.7"/>
        <cfvo type="num" val="1"/>
        <color rgb="FFE74C3C"/>
        <color rgb="FFF39C12"/>
        <color rgb="FF27AE6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5"/>
    <col collapsed="false" customWidth="true" hidden="false" outlineLevel="0" max="5" min="4" style="1" width="20"/>
  </cols>
  <sheetData>
    <row r="1" customFormat="false" ht="13.5" hidden="false" customHeight="true" outlineLevel="0" collapsed="false"/>
    <row r="2" customFormat="false" ht="54.75" hidden="false" customHeight="true" outlineLevel="0" collapsed="false">
      <c r="B2" s="50" t="s">
        <v>355</v>
      </c>
      <c r="C2" s="50"/>
      <c r="D2" s="50"/>
      <c r="E2" s="50"/>
    </row>
    <row r="3" customFormat="false" ht="27.75" hidden="false" customHeight="true" outlineLevel="0" collapsed="false">
      <c r="B3" s="51" t="s">
        <v>356</v>
      </c>
      <c r="C3" s="51"/>
      <c r="D3" s="51"/>
      <c r="E3" s="51"/>
    </row>
    <row r="4" customFormat="false" ht="13.5" hidden="false" customHeight="true" outlineLevel="0" collapsed="false"/>
    <row r="5" customFormat="false" ht="24.75" hidden="false" customHeight="true" outlineLevel="0" collapsed="false">
      <c r="B5" s="52" t="s">
        <v>357</v>
      </c>
      <c r="C5" s="53"/>
      <c r="D5" s="52" t="s">
        <v>358</v>
      </c>
      <c r="E5" s="54"/>
    </row>
    <row r="6" customFormat="false" ht="21.75" hidden="false" customHeight="true" outlineLevel="0" collapsed="false">
      <c r="B6" s="52" t="s">
        <v>359</v>
      </c>
      <c r="C6" s="54"/>
      <c r="D6" s="52" t="s">
        <v>360</v>
      </c>
      <c r="E6" s="53" t="s">
        <v>361</v>
      </c>
    </row>
    <row r="8" customFormat="false" ht="30" hidden="false" customHeight="true" outlineLevel="0" collapsed="false">
      <c r="B8" s="55" t="s">
        <v>362</v>
      </c>
      <c r="C8" s="55"/>
      <c r="D8" s="55"/>
      <c r="E8" s="55"/>
    </row>
    <row r="9" customFormat="false" ht="79.5" hidden="false" customHeight="true" outlineLevel="0" collapsed="false">
      <c r="B9" s="56" t="n">
        <f aca="false">'ציון לפי דומיין'!H20*100</f>
        <v>0</v>
      </c>
      <c r="C9" s="56"/>
      <c r="D9" s="56"/>
      <c r="E9" s="56"/>
    </row>
    <row r="10" customFormat="false" ht="34.5" hidden="false" customHeight="true" outlineLevel="0" collapsed="false">
      <c r="B10" s="57" t="str">
        <f aca="false">IF(B9&gt;=85,"🟢 סיכון נמוך – אישור מלא",IF(B9&gt;=70,"🟡 סיכון בינוני – אישור עם מעקב",IF(B9&gt;=50,"🟠 סיכון גבוה – דרוש שיפור","🔴 סיכון קריטי – לא מאושר")))</f>
        <v>🔴 סיכון קריטי – לא מאושר</v>
      </c>
      <c r="C10" s="57"/>
      <c r="D10" s="57"/>
      <c r="E10" s="57"/>
    </row>
    <row r="11" customFormat="false" ht="30" hidden="false" customHeight="true" outlineLevel="0" collapsed="false"/>
    <row r="12" customFormat="false" ht="9.75" hidden="false" customHeight="true" outlineLevel="0" collapsed="false"/>
    <row r="13" customFormat="false" ht="27.75" hidden="false" customHeight="true" outlineLevel="0" collapsed="false">
      <c r="B13" s="58" t="s">
        <v>363</v>
      </c>
      <c r="C13" s="59" t="s">
        <v>364</v>
      </c>
      <c r="D13" s="60" t="s">
        <v>365</v>
      </c>
      <c r="E13" s="61" t="s">
        <v>366</v>
      </c>
    </row>
    <row r="14" customFormat="false" ht="34.5" hidden="false" customHeight="true" outlineLevel="0" collapsed="false">
      <c r="B14" s="62" t="n">
        <f aca="false">'ציון לפי דומיין'!D20</f>
        <v>0</v>
      </c>
      <c r="C14" s="63" t="n">
        <f aca="false">'ציון לפי דומיין'!E20</f>
        <v>0</v>
      </c>
      <c r="D14" s="64" t="n">
        <f aca="false">'ציון לפי דומיין'!F20</f>
        <v>0</v>
      </c>
      <c r="E14" s="65" t="n">
        <f aca="false">'ציון לפי דומיין'!F20/261</f>
        <v>0</v>
      </c>
    </row>
    <row r="16" customFormat="false" ht="7.5" hidden="false" customHeight="true" outlineLevel="0" collapsed="false"/>
    <row r="17" customFormat="false" ht="27.75" hidden="false" customHeight="true" outlineLevel="0" collapsed="false">
      <c r="B17" s="66" t="s">
        <v>367</v>
      </c>
      <c r="C17" s="66"/>
      <c r="D17" s="66"/>
      <c r="E17" s="66"/>
    </row>
    <row r="18" customFormat="false" ht="21.75" hidden="false" customHeight="true" outlineLevel="0" collapsed="false">
      <c r="B18" s="67" t="s">
        <v>31</v>
      </c>
      <c r="C18" s="67" t="s">
        <v>368</v>
      </c>
      <c r="D18" s="67" t="s">
        <v>369</v>
      </c>
      <c r="E18" s="67" t="s">
        <v>370</v>
      </c>
    </row>
    <row r="19" customFormat="false" ht="19.5" hidden="false" customHeight="true" outlineLevel="0" collapsed="false">
      <c r="B19" s="23" t="str">
        <f aca="false">'ציון לפי דומיין'!B3</f>
        <v>Application &amp; Interface Security</v>
      </c>
      <c r="C19" s="68" t="n">
        <f aca="false">'ציון לפי דומיין'!G3</f>
        <v>0</v>
      </c>
      <c r="D19" s="69" t="n">
        <f aca="false">'ציון לפי דומיין'!C3/100</f>
        <v>0.06</v>
      </c>
      <c r="E19" s="68" t="n">
        <f aca="false">'ציון לפי דומיין'!H3</f>
        <v>0</v>
      </c>
    </row>
    <row r="20" customFormat="false" ht="19.5" hidden="false" customHeight="true" outlineLevel="0" collapsed="false">
      <c r="B20" s="29" t="str">
        <f aca="false">'ציון לפי דומיין'!B4</f>
        <v>Business Continuity &amp; Resilience</v>
      </c>
      <c r="C20" s="70" t="n">
        <f aca="false">'ציון לפי דומיין'!G4</f>
        <v>0</v>
      </c>
      <c r="D20" s="71" t="n">
        <f aca="false">'ציון לפי דומיין'!C4/100</f>
        <v>0.07</v>
      </c>
      <c r="E20" s="70" t="n">
        <f aca="false">'ציון לפי דומיין'!H4</f>
        <v>0</v>
      </c>
    </row>
    <row r="21" customFormat="false" ht="19.5" hidden="false" customHeight="true" outlineLevel="0" collapsed="false">
      <c r="B21" s="23" t="str">
        <f aca="false">'ציון לפי דומיין'!B5</f>
        <v>Change Control &amp; Configuration</v>
      </c>
      <c r="C21" s="68" t="n">
        <f aca="false">'ציון לפי דומיין'!G5</f>
        <v>0</v>
      </c>
      <c r="D21" s="69" t="n">
        <f aca="false">'ציון לפי דומיין'!C5/100</f>
        <v>0.05</v>
      </c>
      <c r="E21" s="68" t="n">
        <f aca="false">'ציון לפי דומיין'!H5</f>
        <v>0</v>
      </c>
    </row>
    <row r="22" customFormat="false" ht="19.5" hidden="false" customHeight="true" outlineLevel="0" collapsed="false">
      <c r="B22" s="29" t="str">
        <f aca="false">'ציון לפי דומיין'!B6</f>
        <v>Cryptography &amp; Key Management</v>
      </c>
      <c r="C22" s="70" t="n">
        <f aca="false">'ציון לפי דומיין'!G6</f>
        <v>0</v>
      </c>
      <c r="D22" s="71" t="n">
        <f aca="false">'ציון לפי דומיין'!C6/100</f>
        <v>0.08</v>
      </c>
      <c r="E22" s="70" t="n">
        <f aca="false">'ציון לפי דומיין'!H6</f>
        <v>0</v>
      </c>
    </row>
    <row r="23" customFormat="false" ht="19.5" hidden="false" customHeight="true" outlineLevel="0" collapsed="false">
      <c r="B23" s="23" t="str">
        <f aca="false">'ציון לפי דומיין'!B7</f>
        <v>Datacenter Security</v>
      </c>
      <c r="C23" s="68" t="n">
        <f aca="false">'ציון לפי דומיין'!G7</f>
        <v>0</v>
      </c>
      <c r="D23" s="69" t="n">
        <f aca="false">'ציון לפי דומיין'!C7/100</f>
        <v>0.05</v>
      </c>
      <c r="E23" s="68" t="n">
        <f aca="false">'ציון לפי דומיין'!H7</f>
        <v>0</v>
      </c>
    </row>
    <row r="24" customFormat="false" ht="19.5" hidden="false" customHeight="true" outlineLevel="0" collapsed="false">
      <c r="B24" s="29" t="str">
        <f aca="false">'ציון לפי דומיין'!B8</f>
        <v>Data Security &amp; Privacy</v>
      </c>
      <c r="C24" s="70" t="n">
        <f aca="false">'ציון לפי דומיין'!G8</f>
        <v>0</v>
      </c>
      <c r="D24" s="71" t="n">
        <f aca="false">'ציון לפי דומיין'!C8/100</f>
        <v>0.1</v>
      </c>
      <c r="E24" s="70" t="n">
        <f aca="false">'ציון לפי דומיין'!H8</f>
        <v>0</v>
      </c>
    </row>
    <row r="25" customFormat="false" ht="19.5" hidden="false" customHeight="true" outlineLevel="0" collapsed="false">
      <c r="B25" s="23" t="str">
        <f aca="false">'ציון לפי דומיין'!B9</f>
        <v>Governance, Risk &amp; Compliance</v>
      </c>
      <c r="C25" s="68" t="n">
        <f aca="false">'ציון לפי דומיין'!G9</f>
        <v>0</v>
      </c>
      <c r="D25" s="69" t="n">
        <f aca="false">'ציון לפי דומיין'!C9/100</f>
        <v>0.05</v>
      </c>
      <c r="E25" s="68" t="n">
        <f aca="false">'ציון לפי דומיין'!H9</f>
        <v>0</v>
      </c>
    </row>
    <row r="26" customFormat="false" ht="19.5" hidden="false" customHeight="true" outlineLevel="0" collapsed="false">
      <c r="B26" s="29" t="str">
        <f aca="false">'ציון לפי דומיין'!B10</f>
        <v>Human Resources</v>
      </c>
      <c r="C26" s="70" t="n">
        <f aca="false">'ציון לפי דומיין'!G10</f>
        <v>0</v>
      </c>
      <c r="D26" s="71" t="n">
        <f aca="false">'ציון לפי דומיין'!C10/100</f>
        <v>0.04</v>
      </c>
      <c r="E26" s="70" t="n">
        <f aca="false">'ציון לפי דומיין'!H10</f>
        <v>0</v>
      </c>
    </row>
    <row r="27" customFormat="false" ht="19.5" hidden="false" customHeight="true" outlineLevel="0" collapsed="false">
      <c r="B27" s="23" t="str">
        <f aca="false">'ציון לפי דומיין'!B11</f>
        <v>Identity &amp; Access Management</v>
      </c>
      <c r="C27" s="68" t="n">
        <f aca="false">'ציון לפי דומיין'!G11</f>
        <v>0</v>
      </c>
      <c r="D27" s="69" t="n">
        <f aca="false">'ציון לפי דומיין'!C11/100</f>
        <v>0.12</v>
      </c>
      <c r="E27" s="68" t="n">
        <f aca="false">'ציון לפי דומיין'!H11</f>
        <v>0</v>
      </c>
    </row>
    <row r="28" customFormat="false" ht="19.5" hidden="false" customHeight="true" outlineLevel="0" collapsed="false">
      <c r="B28" s="29" t="str">
        <f aca="false">'ציון לפי דומיין'!B12</f>
        <v>Interoperability &amp; Portability</v>
      </c>
      <c r="C28" s="70" t="n">
        <f aca="false">'ציון לפי דומיין'!G12</f>
        <v>0</v>
      </c>
      <c r="D28" s="71" t="n">
        <f aca="false">'ציון לפי דומיין'!C12/100</f>
        <v>0.03</v>
      </c>
      <c r="E28" s="70" t="n">
        <f aca="false">'ציון לפי דומיין'!H12</f>
        <v>0</v>
      </c>
    </row>
    <row r="29" customFormat="false" ht="19.5" hidden="false" customHeight="true" outlineLevel="0" collapsed="false">
      <c r="B29" s="23" t="str">
        <f aca="false">'ציון לפי דומיין'!B13</f>
        <v>Infrastructure &amp; Virtualization</v>
      </c>
      <c r="C29" s="68" t="n">
        <f aca="false">'ציון לפי דומיין'!G13</f>
        <v>0</v>
      </c>
      <c r="D29" s="69" t="n">
        <f aca="false">'ציון לפי דומיין'!C13/100</f>
        <v>0.07</v>
      </c>
      <c r="E29" s="68" t="n">
        <f aca="false">'ציון לפי דומיין'!H13</f>
        <v>0</v>
      </c>
    </row>
    <row r="30" customFormat="false" ht="19.5" hidden="false" customHeight="true" outlineLevel="0" collapsed="false">
      <c r="B30" s="29" t="str">
        <f aca="false">'ציון לפי דומיין'!B14</f>
        <v>Logging &amp; Monitoring</v>
      </c>
      <c r="C30" s="70" t="n">
        <f aca="false">'ציון לפי דומיין'!G14</f>
        <v>0</v>
      </c>
      <c r="D30" s="71" t="n">
        <f aca="false">'ציון לפי דומיין'!C14/100</f>
        <v>0.06</v>
      </c>
      <c r="E30" s="70" t="n">
        <f aca="false">'ציון לפי דומיין'!H14</f>
        <v>0</v>
      </c>
    </row>
    <row r="31" customFormat="false" ht="19.5" hidden="false" customHeight="true" outlineLevel="0" collapsed="false">
      <c r="B31" s="23" t="str">
        <f aca="false">'ציון לפי דומיין'!B15</f>
        <v>Security Incident Management</v>
      </c>
      <c r="C31" s="68" t="n">
        <f aca="false">'ציון לפי דומיין'!G15</f>
        <v>0</v>
      </c>
      <c r="D31" s="69" t="n">
        <f aca="false">'ציון לפי דומיין'!C15/100</f>
        <v>0.08</v>
      </c>
      <c r="E31" s="68" t="n">
        <f aca="false">'ציון לפי דומיין'!H15</f>
        <v>0</v>
      </c>
    </row>
    <row r="32" customFormat="false" ht="19.5" hidden="false" customHeight="true" outlineLevel="0" collapsed="false">
      <c r="B32" s="29" t="str">
        <f aca="false">'ציון לפי דומיין'!B16</f>
        <v>Supply Chain Management</v>
      </c>
      <c r="C32" s="70" t="n">
        <f aca="false">'ציון לפי דומיין'!G16</f>
        <v>0</v>
      </c>
      <c r="D32" s="71" t="n">
        <f aca="false">'ציון לפי דומיין'!C16/100</f>
        <v>0.06</v>
      </c>
      <c r="E32" s="70" t="n">
        <f aca="false">'ציון לפי דומיין'!H16</f>
        <v>0</v>
      </c>
    </row>
    <row r="33" customFormat="false" ht="19.5" hidden="false" customHeight="true" outlineLevel="0" collapsed="false">
      <c r="B33" s="23" t="str">
        <f aca="false">'ציון לפי דומיין'!B17</f>
        <v>Threat &amp; Vulnerability Mgmt</v>
      </c>
      <c r="C33" s="68" t="n">
        <f aca="false">'ציון לפי דומיין'!G17</f>
        <v>0</v>
      </c>
      <c r="D33" s="69" t="n">
        <f aca="false">'ציון לפי דומיין'!C17/100</f>
        <v>0.07</v>
      </c>
      <c r="E33" s="68" t="n">
        <f aca="false">'ציון לפי דומיין'!H17</f>
        <v>0</v>
      </c>
    </row>
    <row r="34" customFormat="false" ht="19.5" hidden="false" customHeight="true" outlineLevel="0" collapsed="false">
      <c r="B34" s="29" t="str">
        <f aca="false">'ציון לפי דומיין'!B18</f>
        <v>Endpoint Management</v>
      </c>
      <c r="C34" s="70" t="n">
        <f aca="false">'ציון לפי דומיין'!G18</f>
        <v>0</v>
      </c>
      <c r="D34" s="71" t="n">
        <f aca="false">'ציון לפי דומיין'!C18/100</f>
        <v>0.04</v>
      </c>
      <c r="E34" s="70" t="n">
        <f aca="false">'ציון לפי דומיין'!H18</f>
        <v>0</v>
      </c>
    </row>
    <row r="35" customFormat="false" ht="19.5" hidden="false" customHeight="true" outlineLevel="0" collapsed="false">
      <c r="B35" s="23" t="str">
        <f aca="false">'ציון לפי דומיין'!B19</f>
        <v>Audit Assurance &amp; Compliance</v>
      </c>
      <c r="C35" s="68" t="n">
        <f aca="false">'ציון לפי דומיין'!G19</f>
        <v>0</v>
      </c>
      <c r="D35" s="69" t="n">
        <f aca="false">'ציון לפי דומיין'!C19/100</f>
        <v>0.07</v>
      </c>
      <c r="E35" s="68" t="n">
        <f aca="false">'ציון לפי דומיין'!H19</f>
        <v>0</v>
      </c>
    </row>
  </sheetData>
  <mergeCells count="6">
    <mergeCell ref="B2:E2"/>
    <mergeCell ref="B3:E3"/>
    <mergeCell ref="B8:E8"/>
    <mergeCell ref="B9:E9"/>
    <mergeCell ref="B10:E10"/>
    <mergeCell ref="B17:E17"/>
  </mergeCells>
  <conditionalFormatting sqref="C19:C35">
    <cfRule type="colorScale" priority="2">
      <colorScale>
        <cfvo type="num" val="0"/>
        <cfvo type="num" val="0.7"/>
        <cfvo type="num" val="1"/>
        <color rgb="FFE74C3C"/>
        <color rgb="FFF39C12"/>
        <color rgb="FF27AE6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2026-05-05T20:58:57Z</dcterms:created>
  <dc:creator>openpyxl</dc:creator>
  <dc:description/>
  <dc:language>en-US</dc:language>
  <cp:lastModifiedBy/>
  <dcterms:modified xsi:type="dcterms:W3CDTF">2026-05-05T20:59:22Z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